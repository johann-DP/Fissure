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euil1" sheetId="1" state="visible" r:id="rId2"/>
    <sheet name="Copie de FISSURE(2086)" sheetId="2" state="visible" r:id="rId3"/>
    <sheet name="Feuil3" sheetId="3" state="visible" r:id="rId4"/>
  </sheets>
  <definedNames>
    <definedName function="false" hidden="false" name="_xlchart.v1.0" vbProcedure="false">'Copie de FISSURE(2086)'!$D$2:$D$179</definedName>
    <definedName function="false" hidden="false" name="_xlchart.v1.1" vbProcedure="false">'Copie de FISSURE(2086)'!$D$2:$D$179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<sst xmlns="http://schemas.openxmlformats.org/spreadsheetml/2006/main" count="13" uniqueCount="13">
  <si>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r>
      <rPr>
        <sz val="10"/>
        <rFont val="Symbol"/>
        <family val="1"/>
        <charset val="2"/>
      </rPr>
      <t xml:space="preserve">D</t>
    </r>
    <r>
      <rPr>
        <sz val="10"/>
        <rFont val="Arial"/>
        <family val="2"/>
        <charset val="1"/>
      </rPr>
      <t xml:space="preserve">=</t>
    </r>
  </si>
  <si>
    <t xml:space="preserve">sigma</t>
  </si>
  <si>
    <t xml:space="preserve">moy</t>
  </si>
  <si>
    <t xml:space="preserve">cm</t>
  </si>
  <si>
    <t xml:space="preserve">pied manuel</t>
  </si>
  <si>
    <t xml:space="preserve">pied électronique</t>
  </si>
  <si>
    <t xml:space="preserve">m</t>
  </si>
  <si>
    <t xml:space="preserve">s</t>
  </si>
  <si>
    <t xml:space="preserve">IC</t>
  </si>
  <si>
    <t xml:space="preserve">max</t>
  </si>
  <si>
    <t xml:space="preserve">min</t>
  </si>
  <si>
    <t xml:space="preserve">date</t>
  </si>
  <si>
    <t xml:space="preserve">bureau_old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</si>
</sst>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dd\-mmm"/>
    <numFmt numFmtId="167" formatCode="dd/mm/yy;@"/>
    <numFmt numFmtId="168" formatCode="0.0000%"/>
    <numFmt numFmtId="169" formatCode="0.000000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ymbol"/>
      <family val="1"/>
      <charset val="2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Feuil1!$B$11:$B$193</c:f>
              <c:numCache>
                <c:formatCode>General</c:formatCode>
                <c:ptCount val="183"/>
                <c:pt idx="0">
                  <c:v>40517</c:v>
                </c:pt>
                <c:pt idx="1">
                  <c:v>40541</c:v>
                </c:pt>
                <c:pt idx="2">
                  <c:v>40698</c:v>
                </c:pt>
                <c:pt idx="3">
                  <c:v>40720</c:v>
                </c:pt>
                <c:pt idx="4">
                  <c:v>40721</c:v>
                </c:pt>
                <c:pt idx="5">
                  <c:v>40803</c:v>
                </c:pt>
                <c:pt idx="6">
                  <c:v>41063</c:v>
                </c:pt>
                <c:pt idx="7">
                  <c:v>41070</c:v>
                </c:pt>
                <c:pt idx="8">
                  <c:v>41078</c:v>
                </c:pt>
                <c:pt idx="9">
                  <c:v>41104</c:v>
                </c:pt>
                <c:pt idx="10">
                  <c:v>41127</c:v>
                </c:pt>
                <c:pt idx="11">
                  <c:v>41132</c:v>
                </c:pt>
                <c:pt idx="12">
                  <c:v>41132</c:v>
                </c:pt>
                <c:pt idx="13">
                  <c:v>41156</c:v>
                </c:pt>
                <c:pt idx="14">
                  <c:v>41185</c:v>
                </c:pt>
                <c:pt idx="15">
                  <c:v>41209</c:v>
                </c:pt>
                <c:pt idx="16">
                  <c:v>41216</c:v>
                </c:pt>
                <c:pt idx="17">
                  <c:v>41227</c:v>
                </c:pt>
                <c:pt idx="18">
                  <c:v>41254</c:v>
                </c:pt>
                <c:pt idx="19">
                  <c:v>41284</c:v>
                </c:pt>
                <c:pt idx="20">
                  <c:v>41306</c:v>
                </c:pt>
                <c:pt idx="21">
                  <c:v>41322</c:v>
                </c:pt>
                <c:pt idx="22">
                  <c:v>41357</c:v>
                </c:pt>
                <c:pt idx="23">
                  <c:v>41388</c:v>
                </c:pt>
                <c:pt idx="24">
                  <c:v>41425</c:v>
                </c:pt>
                <c:pt idx="25">
                  <c:v>41441</c:v>
                </c:pt>
                <c:pt idx="26">
                  <c:v>41455</c:v>
                </c:pt>
                <c:pt idx="27">
                  <c:v>41471</c:v>
                </c:pt>
                <c:pt idx="28">
                  <c:v>41506</c:v>
                </c:pt>
                <c:pt idx="29">
                  <c:v>41522</c:v>
                </c:pt>
                <c:pt idx="30">
                  <c:v>41542</c:v>
                </c:pt>
                <c:pt idx="31">
                  <c:v>41563</c:v>
                </c:pt>
                <c:pt idx="32">
                  <c:v>41584</c:v>
                </c:pt>
                <c:pt idx="33">
                  <c:v>41624</c:v>
                </c:pt>
                <c:pt idx="34">
                  <c:v>41645</c:v>
                </c:pt>
                <c:pt idx="35">
                  <c:v>41655</c:v>
                </c:pt>
                <c:pt idx="36">
                  <c:v>41674</c:v>
                </c:pt>
                <c:pt idx="37">
                  <c:v>41687</c:v>
                </c:pt>
                <c:pt idx="38">
                  <c:v>41700</c:v>
                </c:pt>
                <c:pt idx="39">
                  <c:v>41717</c:v>
                </c:pt>
                <c:pt idx="40">
                  <c:v>41733</c:v>
                </c:pt>
                <c:pt idx="41">
                  <c:v>41754</c:v>
                </c:pt>
                <c:pt idx="42">
                  <c:v>41761</c:v>
                </c:pt>
                <c:pt idx="43">
                  <c:v>41776</c:v>
                </c:pt>
                <c:pt idx="44">
                  <c:v>41799</c:v>
                </c:pt>
                <c:pt idx="45">
                  <c:v>41822</c:v>
                </c:pt>
                <c:pt idx="46">
                  <c:v>41838</c:v>
                </c:pt>
                <c:pt idx="47">
                  <c:v>41854</c:v>
                </c:pt>
                <c:pt idx="48">
                  <c:v>41948</c:v>
                </c:pt>
                <c:pt idx="49">
                  <c:v>42003</c:v>
                </c:pt>
                <c:pt idx="50">
                  <c:v>42035</c:v>
                </c:pt>
                <c:pt idx="51">
                  <c:v>42064</c:v>
                </c:pt>
                <c:pt idx="52">
                  <c:v>42109</c:v>
                </c:pt>
                <c:pt idx="53">
                  <c:v>42146</c:v>
                </c:pt>
                <c:pt idx="54">
                  <c:v>42165</c:v>
                </c:pt>
                <c:pt idx="55">
                  <c:v>42188</c:v>
                </c:pt>
                <c:pt idx="56">
                  <c:v>42217</c:v>
                </c:pt>
                <c:pt idx="57">
                  <c:v>42231</c:v>
                </c:pt>
                <c:pt idx="58">
                  <c:v>42250</c:v>
                </c:pt>
                <c:pt idx="59">
                  <c:v>42279</c:v>
                </c:pt>
                <c:pt idx="60">
                  <c:v>42369</c:v>
                </c:pt>
                <c:pt idx="61">
                  <c:v>42393</c:v>
                </c:pt>
                <c:pt idx="62">
                  <c:v>42431</c:v>
                </c:pt>
                <c:pt idx="63">
                  <c:v>42468</c:v>
                </c:pt>
                <c:pt idx="64">
                  <c:v>42473</c:v>
                </c:pt>
                <c:pt idx="65">
                  <c:v>42477</c:v>
                </c:pt>
                <c:pt idx="66">
                  <c:v>42496</c:v>
                </c:pt>
                <c:pt idx="67">
                  <c:v>42499</c:v>
                </c:pt>
                <c:pt idx="68">
                  <c:v>42525</c:v>
                </c:pt>
                <c:pt idx="69">
                  <c:v>42534</c:v>
                </c:pt>
                <c:pt idx="70">
                  <c:v>42553</c:v>
                </c:pt>
                <c:pt idx="71">
                  <c:v>42563</c:v>
                </c:pt>
                <c:pt idx="72">
                  <c:v>42571</c:v>
                </c:pt>
                <c:pt idx="73">
                  <c:v>42581</c:v>
                </c:pt>
                <c:pt idx="74">
                  <c:v>42592</c:v>
                </c:pt>
                <c:pt idx="75">
                  <c:v>42602</c:v>
                </c:pt>
                <c:pt idx="76">
                  <c:v>42612</c:v>
                </c:pt>
                <c:pt idx="77">
                  <c:v>42623</c:v>
                </c:pt>
                <c:pt idx="78">
                  <c:v>42635</c:v>
                </c:pt>
                <c:pt idx="79">
                  <c:v>42643</c:v>
                </c:pt>
                <c:pt idx="80">
                  <c:v>42654</c:v>
                </c:pt>
                <c:pt idx="81">
                  <c:v>42663</c:v>
                </c:pt>
                <c:pt idx="82">
                  <c:v>42677</c:v>
                </c:pt>
                <c:pt idx="83">
                  <c:v>42686</c:v>
                </c:pt>
                <c:pt idx="84">
                  <c:v>42694</c:v>
                </c:pt>
                <c:pt idx="85">
                  <c:v>42708</c:v>
                </c:pt>
                <c:pt idx="86">
                  <c:v>42721</c:v>
                </c:pt>
                <c:pt idx="87">
                  <c:v>42732</c:v>
                </c:pt>
                <c:pt idx="88">
                  <c:v>42749</c:v>
                </c:pt>
                <c:pt idx="89">
                  <c:v>42773</c:v>
                </c:pt>
                <c:pt idx="90">
                  <c:v>42786</c:v>
                </c:pt>
                <c:pt idx="91">
                  <c:v>42797</c:v>
                </c:pt>
                <c:pt idx="92">
                  <c:v>42806</c:v>
                </c:pt>
                <c:pt idx="93">
                  <c:v>42819</c:v>
                </c:pt>
                <c:pt idx="94">
                  <c:v>42831</c:v>
                </c:pt>
                <c:pt idx="95">
                  <c:v>42836</c:v>
                </c:pt>
                <c:pt idx="96">
                  <c:v>42845</c:v>
                </c:pt>
                <c:pt idx="97">
                  <c:v>42856</c:v>
                </c:pt>
                <c:pt idx="98">
                  <c:v>42865</c:v>
                </c:pt>
                <c:pt idx="99">
                  <c:v>42875</c:v>
                </c:pt>
                <c:pt idx="100">
                  <c:v>42888</c:v>
                </c:pt>
                <c:pt idx="101">
                  <c:v>42896</c:v>
                </c:pt>
                <c:pt idx="102">
                  <c:v>42906</c:v>
                </c:pt>
                <c:pt idx="103">
                  <c:v>42917</c:v>
                </c:pt>
                <c:pt idx="104">
                  <c:v>42926</c:v>
                </c:pt>
                <c:pt idx="105">
                  <c:v>42936</c:v>
                </c:pt>
                <c:pt idx="106">
                  <c:v>42948</c:v>
                </c:pt>
                <c:pt idx="107">
                  <c:v>42964</c:v>
                </c:pt>
                <c:pt idx="108">
                  <c:v>42968</c:v>
                </c:pt>
                <c:pt idx="109">
                  <c:v>42979</c:v>
                </c:pt>
                <c:pt idx="110">
                  <c:v>42988</c:v>
                </c:pt>
                <c:pt idx="111">
                  <c:v>42998</c:v>
                </c:pt>
                <c:pt idx="112">
                  <c:v>43009</c:v>
                </c:pt>
                <c:pt idx="113">
                  <c:v>43018</c:v>
                </c:pt>
                <c:pt idx="114">
                  <c:v>43028</c:v>
                </c:pt>
                <c:pt idx="115">
                  <c:v>43040</c:v>
                </c:pt>
                <c:pt idx="116">
                  <c:v>43049</c:v>
                </c:pt>
                <c:pt idx="117">
                  <c:v>43054</c:v>
                </c:pt>
                <c:pt idx="118">
                  <c:v>43070</c:v>
                </c:pt>
                <c:pt idx="119">
                  <c:v>43079</c:v>
                </c:pt>
                <c:pt idx="120">
                  <c:v>43101</c:v>
                </c:pt>
                <c:pt idx="121">
                  <c:v>43110</c:v>
                </c:pt>
                <c:pt idx="122">
                  <c:v>43120</c:v>
                </c:pt>
                <c:pt idx="123">
                  <c:v>43132</c:v>
                </c:pt>
                <c:pt idx="124">
                  <c:v>43141</c:v>
                </c:pt>
                <c:pt idx="125">
                  <c:v>43151</c:v>
                </c:pt>
                <c:pt idx="126">
                  <c:v>43160</c:v>
                </c:pt>
                <c:pt idx="127">
                  <c:v>43169</c:v>
                </c:pt>
                <c:pt idx="128">
                  <c:v>43179</c:v>
                </c:pt>
                <c:pt idx="129">
                  <c:v>43191</c:v>
                </c:pt>
                <c:pt idx="130">
                  <c:v>43200</c:v>
                </c:pt>
                <c:pt idx="131">
                  <c:v>43210</c:v>
                </c:pt>
                <c:pt idx="132">
                  <c:v>43221</c:v>
                </c:pt>
                <c:pt idx="133">
                  <c:v>43230</c:v>
                </c:pt>
                <c:pt idx="134">
                  <c:v>43240</c:v>
                </c:pt>
                <c:pt idx="135">
                  <c:v>43252</c:v>
                </c:pt>
                <c:pt idx="136">
                  <c:v>43261</c:v>
                </c:pt>
                <c:pt idx="137">
                  <c:v>43271</c:v>
                </c:pt>
                <c:pt idx="138">
                  <c:v>43282</c:v>
                </c:pt>
                <c:pt idx="139">
                  <c:v>43291</c:v>
                </c:pt>
                <c:pt idx="140">
                  <c:v>43301</c:v>
                </c:pt>
                <c:pt idx="141">
                  <c:v>43313</c:v>
                </c:pt>
                <c:pt idx="142">
                  <c:v>43322</c:v>
                </c:pt>
                <c:pt idx="143">
                  <c:v>43332</c:v>
                </c:pt>
                <c:pt idx="144">
                  <c:v>43344</c:v>
                </c:pt>
                <c:pt idx="145">
                  <c:v>43353</c:v>
                </c:pt>
                <c:pt idx="146">
                  <c:v>43363</c:v>
                </c:pt>
                <c:pt idx="147">
                  <c:v>43374</c:v>
                </c:pt>
                <c:pt idx="148">
                  <c:v>43383</c:v>
                </c:pt>
                <c:pt idx="149">
                  <c:v>43393</c:v>
                </c:pt>
                <c:pt idx="150">
                  <c:v>43414</c:v>
                </c:pt>
                <c:pt idx="151">
                  <c:v>43436</c:v>
                </c:pt>
                <c:pt idx="152">
                  <c:v>43448</c:v>
                </c:pt>
                <c:pt idx="153">
                  <c:v>43460</c:v>
                </c:pt>
                <c:pt idx="154">
                  <c:v>43477</c:v>
                </c:pt>
                <c:pt idx="155">
                  <c:v>43499</c:v>
                </c:pt>
                <c:pt idx="156">
                  <c:v>43512</c:v>
                </c:pt>
                <c:pt idx="157">
                  <c:v>43520</c:v>
                </c:pt>
                <c:pt idx="158">
                  <c:v>43533</c:v>
                </c:pt>
                <c:pt idx="159">
                  <c:v>43562</c:v>
                </c:pt>
                <c:pt idx="160">
                  <c:v>43596</c:v>
                </c:pt>
                <c:pt idx="161">
                  <c:v>43618</c:v>
                </c:pt>
                <c:pt idx="162">
                  <c:v>43632</c:v>
                </c:pt>
                <c:pt idx="163">
                  <c:v>43646</c:v>
                </c:pt>
                <c:pt idx="164">
                  <c:v>43662</c:v>
                </c:pt>
                <c:pt idx="165">
                  <c:v>43672</c:v>
                </c:pt>
                <c:pt idx="166">
                  <c:v>43702</c:v>
                </c:pt>
                <c:pt idx="167">
                  <c:v>43715</c:v>
                </c:pt>
                <c:pt idx="168">
                  <c:v>43730</c:v>
                </c:pt>
                <c:pt idx="169">
                  <c:v>43744</c:v>
                </c:pt>
                <c:pt idx="170">
                  <c:v>43759</c:v>
                </c:pt>
                <c:pt idx="171">
                  <c:v>43741</c:v>
                </c:pt>
                <c:pt idx="172">
                  <c:v>43769</c:v>
                </c:pt>
                <c:pt idx="173">
                  <c:v>43820</c:v>
                </c:pt>
                <c:pt idx="174">
                  <c:v>43834</c:v>
                </c:pt>
                <c:pt idx="175">
                  <c:v>43856</c:v>
                </c:pt>
                <c:pt idx="176">
                  <c:v>43876</c:v>
                </c:pt>
                <c:pt idx="177">
                  <c:v>43890</c:v>
                </c:pt>
                <c:pt idx="178">
                  <c:v>43905</c:v>
                </c:pt>
                <c:pt idx="179">
                  <c:v>43919</c:v>
                </c:pt>
                <c:pt idx="180">
                  <c:v>43935</c:v>
                </c:pt>
                <c:pt idx="181">
                  <c:v>43947</c:v>
                </c:pt>
                <c:pt idx="182">
                  <c:v>43961</c:v>
                </c:pt>
              </c:numCache>
            </c:numRef>
          </c:xVal>
          <c:yVal>
            <c:numRef>
              <c:f>Feuil1!$C$11:$C$193</c:f>
              <c:numCache>
                <c:formatCode>General</c:formatCode>
                <c:ptCount val="183"/>
                <c:pt idx="0">
                  <c:v>2.376</c:v>
                </c:pt>
                <c:pt idx="1">
                  <c:v>2.364</c:v>
                </c:pt>
                <c:pt idx="2">
                  <c:v>2.432</c:v>
                </c:pt>
                <c:pt idx="3">
                  <c:v>2.428</c:v>
                </c:pt>
                <c:pt idx="4">
                  <c:v>2.47</c:v>
                </c:pt>
                <c:pt idx="5">
                  <c:v>2.412</c:v>
                </c:pt>
                <c:pt idx="6">
                  <c:v>2.508</c:v>
                </c:pt>
                <c:pt idx="7">
                  <c:v>2.476</c:v>
                </c:pt>
                <c:pt idx="8">
                  <c:v>2.464</c:v>
                </c:pt>
                <c:pt idx="9">
                  <c:v>2.496</c:v>
                </c:pt>
                <c:pt idx="10">
                  <c:v>2.494</c:v>
                </c:pt>
                <c:pt idx="11">
                  <c:v>2.538</c:v>
                </c:pt>
                <c:pt idx="12">
                  <c:v>2.543</c:v>
                </c:pt>
                <c:pt idx="13">
                  <c:v>2.535</c:v>
                </c:pt>
                <c:pt idx="14">
                  <c:v>2.519</c:v>
                </c:pt>
                <c:pt idx="15">
                  <c:v>2.509</c:v>
                </c:pt>
                <c:pt idx="16">
                  <c:v>2.515</c:v>
                </c:pt>
                <c:pt idx="17">
                  <c:v>2.52</c:v>
                </c:pt>
                <c:pt idx="18">
                  <c:v>2.507</c:v>
                </c:pt>
                <c:pt idx="19">
                  <c:v>2.51</c:v>
                </c:pt>
                <c:pt idx="20">
                  <c:v>2.525</c:v>
                </c:pt>
                <c:pt idx="21">
                  <c:v>2.517</c:v>
                </c:pt>
                <c:pt idx="22">
                  <c:v>2.52</c:v>
                </c:pt>
                <c:pt idx="23">
                  <c:v>2.543</c:v>
                </c:pt>
                <c:pt idx="24">
                  <c:v>2.567</c:v>
                </c:pt>
                <c:pt idx="25">
                  <c:v>2.578</c:v>
                </c:pt>
                <c:pt idx="26">
                  <c:v>2.575</c:v>
                </c:pt>
                <c:pt idx="27">
                  <c:v>2.597</c:v>
                </c:pt>
                <c:pt idx="28">
                  <c:v>2.597</c:v>
                </c:pt>
                <c:pt idx="29">
                  <c:v>2.612</c:v>
                </c:pt>
                <c:pt idx="30">
                  <c:v>2.59</c:v>
                </c:pt>
                <c:pt idx="31">
                  <c:v>2.568</c:v>
                </c:pt>
                <c:pt idx="32">
                  <c:v>2.576</c:v>
                </c:pt>
                <c:pt idx="33">
                  <c:v>2.578</c:v>
                </c:pt>
                <c:pt idx="34">
                  <c:v>2.578</c:v>
                </c:pt>
                <c:pt idx="35">
                  <c:v>2.575</c:v>
                </c:pt>
                <c:pt idx="36">
                  <c:v>2.578</c:v>
                </c:pt>
                <c:pt idx="37">
                  <c:v>2.579</c:v>
                </c:pt>
                <c:pt idx="38">
                  <c:v>2.578</c:v>
                </c:pt>
                <c:pt idx="39">
                  <c:v>2.581</c:v>
                </c:pt>
                <c:pt idx="40">
                  <c:v>2.6</c:v>
                </c:pt>
                <c:pt idx="41">
                  <c:v>2.598</c:v>
                </c:pt>
                <c:pt idx="42">
                  <c:v>2.595</c:v>
                </c:pt>
                <c:pt idx="43">
                  <c:v>2.619</c:v>
                </c:pt>
                <c:pt idx="44">
                  <c:v>2.616</c:v>
                </c:pt>
                <c:pt idx="45">
                  <c:v>2.623</c:v>
                </c:pt>
                <c:pt idx="46">
                  <c:v>2.659</c:v>
                </c:pt>
                <c:pt idx="47">
                  <c:v>2.63</c:v>
                </c:pt>
                <c:pt idx="48">
                  <c:v>2.63</c:v>
                </c:pt>
                <c:pt idx="49">
                  <c:v>2.612</c:v>
                </c:pt>
                <c:pt idx="50">
                  <c:v>2.619</c:v>
                </c:pt>
                <c:pt idx="51">
                  <c:v>2.638</c:v>
                </c:pt>
                <c:pt idx="52">
                  <c:v>2.691</c:v>
                </c:pt>
                <c:pt idx="53">
                  <c:v>2.687</c:v>
                </c:pt>
                <c:pt idx="54">
                  <c:v>2.702</c:v>
                </c:pt>
                <c:pt idx="55">
                  <c:v>2.735</c:v>
                </c:pt>
                <c:pt idx="56">
                  <c:v>2.739</c:v>
                </c:pt>
                <c:pt idx="57">
                  <c:v>2.745</c:v>
                </c:pt>
                <c:pt idx="58">
                  <c:v>2.751</c:v>
                </c:pt>
                <c:pt idx="59">
                  <c:v>2.764</c:v>
                </c:pt>
                <c:pt idx="60">
                  <c:v>2.768</c:v>
                </c:pt>
                <c:pt idx="61">
                  <c:v>2.773</c:v>
                </c:pt>
                <c:pt idx="62">
                  <c:v>2.781</c:v>
                </c:pt>
                <c:pt idx="63">
                  <c:v>2.806</c:v>
                </c:pt>
                <c:pt idx="64">
                  <c:v>2.831</c:v>
                </c:pt>
                <c:pt idx="65">
                  <c:v>2.815</c:v>
                </c:pt>
                <c:pt idx="66">
                  <c:v>2.867</c:v>
                </c:pt>
                <c:pt idx="67">
                  <c:v>2.869</c:v>
                </c:pt>
                <c:pt idx="68">
                  <c:v>2.859</c:v>
                </c:pt>
                <c:pt idx="69">
                  <c:v>2.871</c:v>
                </c:pt>
                <c:pt idx="70">
                  <c:v>2.875</c:v>
                </c:pt>
                <c:pt idx="71">
                  <c:v>2.897</c:v>
                </c:pt>
                <c:pt idx="72">
                  <c:v>2.932</c:v>
                </c:pt>
                <c:pt idx="73">
                  <c:v>2.907</c:v>
                </c:pt>
                <c:pt idx="74">
                  <c:v>2.917</c:v>
                </c:pt>
                <c:pt idx="75">
                  <c:v>2.915</c:v>
                </c:pt>
                <c:pt idx="76">
                  <c:v>2.923</c:v>
                </c:pt>
                <c:pt idx="77">
                  <c:v>2.946</c:v>
                </c:pt>
                <c:pt idx="78">
                  <c:v>2.937</c:v>
                </c:pt>
                <c:pt idx="79">
                  <c:v>2.943</c:v>
                </c:pt>
                <c:pt idx="80">
                  <c:v>2.943</c:v>
                </c:pt>
                <c:pt idx="81">
                  <c:v>2.941</c:v>
                </c:pt>
                <c:pt idx="82">
                  <c:v>2.934</c:v>
                </c:pt>
                <c:pt idx="83">
                  <c:v>2.939</c:v>
                </c:pt>
                <c:pt idx="84">
                  <c:v>2.957</c:v>
                </c:pt>
                <c:pt idx="85">
                  <c:v>2.935</c:v>
                </c:pt>
                <c:pt idx="86">
                  <c:v>2.947</c:v>
                </c:pt>
                <c:pt idx="87">
                  <c:v>2.952</c:v>
                </c:pt>
                <c:pt idx="88">
                  <c:v>2.962</c:v>
                </c:pt>
                <c:pt idx="89">
                  <c:v>2.981</c:v>
                </c:pt>
                <c:pt idx="90">
                  <c:v>2.986</c:v>
                </c:pt>
                <c:pt idx="91">
                  <c:v>2.992</c:v>
                </c:pt>
                <c:pt idx="92">
                  <c:v>3</c:v>
                </c:pt>
                <c:pt idx="93">
                  <c:v>3.019</c:v>
                </c:pt>
                <c:pt idx="94">
                  <c:v>3.026</c:v>
                </c:pt>
                <c:pt idx="95">
                  <c:v>3.045</c:v>
                </c:pt>
                <c:pt idx="96">
                  <c:v>3.02</c:v>
                </c:pt>
                <c:pt idx="97">
                  <c:v>3.02</c:v>
                </c:pt>
                <c:pt idx="98">
                  <c:v>3.05</c:v>
                </c:pt>
                <c:pt idx="99">
                  <c:v>3.047</c:v>
                </c:pt>
                <c:pt idx="100">
                  <c:v>3.061</c:v>
                </c:pt>
                <c:pt idx="101">
                  <c:v>3.074</c:v>
                </c:pt>
                <c:pt idx="102">
                  <c:v>3.071</c:v>
                </c:pt>
                <c:pt idx="103">
                  <c:v>3.052</c:v>
                </c:pt>
                <c:pt idx="104">
                  <c:v>3.08</c:v>
                </c:pt>
                <c:pt idx="105">
                  <c:v>3.079</c:v>
                </c:pt>
                <c:pt idx="106">
                  <c:v>3.074</c:v>
                </c:pt>
                <c:pt idx="107">
                  <c:v>3.091</c:v>
                </c:pt>
                <c:pt idx="108">
                  <c:v>3.089</c:v>
                </c:pt>
                <c:pt idx="109">
                  <c:v>3.08</c:v>
                </c:pt>
                <c:pt idx="110">
                  <c:v>3.079</c:v>
                </c:pt>
                <c:pt idx="111">
                  <c:v>3.083</c:v>
                </c:pt>
                <c:pt idx="112">
                  <c:v>3.084</c:v>
                </c:pt>
                <c:pt idx="113">
                  <c:v>3.091</c:v>
                </c:pt>
                <c:pt idx="114">
                  <c:v>3.09</c:v>
                </c:pt>
                <c:pt idx="115">
                  <c:v>3.075</c:v>
                </c:pt>
                <c:pt idx="116">
                  <c:v>3.087</c:v>
                </c:pt>
                <c:pt idx="117">
                  <c:v>3.078</c:v>
                </c:pt>
                <c:pt idx="118">
                  <c:v>3.078</c:v>
                </c:pt>
                <c:pt idx="119">
                  <c:v>3.074</c:v>
                </c:pt>
                <c:pt idx="120">
                  <c:v>3.092</c:v>
                </c:pt>
                <c:pt idx="121">
                  <c:v>3.083</c:v>
                </c:pt>
                <c:pt idx="122">
                  <c:v>3.081</c:v>
                </c:pt>
                <c:pt idx="123">
                  <c:v>3.095</c:v>
                </c:pt>
                <c:pt idx="124">
                  <c:v>3.081</c:v>
                </c:pt>
                <c:pt idx="125">
                  <c:v>3.085</c:v>
                </c:pt>
                <c:pt idx="126">
                  <c:v>3.085</c:v>
                </c:pt>
                <c:pt idx="127">
                  <c:v>3.114</c:v>
                </c:pt>
                <c:pt idx="128">
                  <c:v>3.083</c:v>
                </c:pt>
                <c:pt idx="129">
                  <c:v>3.126</c:v>
                </c:pt>
                <c:pt idx="130">
                  <c:v>3.149</c:v>
                </c:pt>
                <c:pt idx="131">
                  <c:v>3.185</c:v>
                </c:pt>
                <c:pt idx="132">
                  <c:v>3.132</c:v>
                </c:pt>
                <c:pt idx="133">
                  <c:v>3.179</c:v>
                </c:pt>
                <c:pt idx="134">
                  <c:v>3.176</c:v>
                </c:pt>
                <c:pt idx="135">
                  <c:v>3.187</c:v>
                </c:pt>
                <c:pt idx="136">
                  <c:v>3.186</c:v>
                </c:pt>
                <c:pt idx="137">
                  <c:v>3.19</c:v>
                </c:pt>
                <c:pt idx="138">
                  <c:v>3.203</c:v>
                </c:pt>
                <c:pt idx="139">
                  <c:v>3.184</c:v>
                </c:pt>
                <c:pt idx="140">
                  <c:v>3.189</c:v>
                </c:pt>
                <c:pt idx="141">
                  <c:v>3.197</c:v>
                </c:pt>
                <c:pt idx="142">
                  <c:v>3.181</c:v>
                </c:pt>
                <c:pt idx="143">
                  <c:v>3.198</c:v>
                </c:pt>
                <c:pt idx="144">
                  <c:v>3.198</c:v>
                </c:pt>
                <c:pt idx="145">
                  <c:v>3.202</c:v>
                </c:pt>
                <c:pt idx="146">
                  <c:v>3.197</c:v>
                </c:pt>
                <c:pt idx="147">
                  <c:v>3.197</c:v>
                </c:pt>
                <c:pt idx="148">
                  <c:v>3.219</c:v>
                </c:pt>
                <c:pt idx="149">
                  <c:v>3.199</c:v>
                </c:pt>
                <c:pt idx="150">
                  <c:v>3.198</c:v>
                </c:pt>
                <c:pt idx="151">
                  <c:v>3.21</c:v>
                </c:pt>
                <c:pt idx="152">
                  <c:v>3.177</c:v>
                </c:pt>
                <c:pt idx="153">
                  <c:v>3.199</c:v>
                </c:pt>
                <c:pt idx="154">
                  <c:v>3.203</c:v>
                </c:pt>
                <c:pt idx="155">
                  <c:v>3.2</c:v>
                </c:pt>
                <c:pt idx="156">
                  <c:v>3.211</c:v>
                </c:pt>
                <c:pt idx="157">
                  <c:v>3.232</c:v>
                </c:pt>
                <c:pt idx="158">
                  <c:v>3.231</c:v>
                </c:pt>
                <c:pt idx="159">
                  <c:v>3.242</c:v>
                </c:pt>
                <c:pt idx="160">
                  <c:v>3.241</c:v>
                </c:pt>
                <c:pt idx="161">
                  <c:v>3.265</c:v>
                </c:pt>
                <c:pt idx="162">
                  <c:v>3.257</c:v>
                </c:pt>
                <c:pt idx="163">
                  <c:v>3.293</c:v>
                </c:pt>
                <c:pt idx="164">
                  <c:v>3.285</c:v>
                </c:pt>
                <c:pt idx="165">
                  <c:v>3.29</c:v>
                </c:pt>
                <c:pt idx="166">
                  <c:v>3.317</c:v>
                </c:pt>
                <c:pt idx="167">
                  <c:v>3.264</c:v>
                </c:pt>
                <c:pt idx="168">
                  <c:v>3.305</c:v>
                </c:pt>
                <c:pt idx="169">
                  <c:v>3.305</c:v>
                </c:pt>
                <c:pt idx="170">
                  <c:v>3.3</c:v>
                </c:pt>
                <c:pt idx="171">
                  <c:v>3.298</c:v>
                </c:pt>
                <c:pt idx="172">
                  <c:v>3.295</c:v>
                </c:pt>
                <c:pt idx="173">
                  <c:v>3.299</c:v>
                </c:pt>
                <c:pt idx="174">
                  <c:v>3.292</c:v>
                </c:pt>
                <c:pt idx="175">
                  <c:v>3.293</c:v>
                </c:pt>
                <c:pt idx="176">
                  <c:v>3.298</c:v>
                </c:pt>
                <c:pt idx="177">
                  <c:v>3.302</c:v>
                </c:pt>
                <c:pt idx="178">
                  <c:v>3.304</c:v>
                </c:pt>
                <c:pt idx="179">
                  <c:v>3.301</c:v>
                </c:pt>
                <c:pt idx="180">
                  <c:v>3.305</c:v>
                </c:pt>
                <c:pt idx="181">
                  <c:v>3.31</c:v>
                </c:pt>
                <c:pt idx="182">
                  <c:v>3.333</c:v>
                </c:pt>
              </c:numCache>
            </c:numRef>
          </c:yVal>
          <c:smooth val="0"/>
        </c:ser>
        <c:axId val="12877476"/>
        <c:axId val="59760829"/>
      </c:scatterChart>
      <c:valAx>
        <c:axId val="12877476"/>
        <c:scaling>
          <c:orientation val="minMax"/>
          <c:max val="44000"/>
          <c:min val="4045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;@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760829"/>
        <c:crosses val="autoZero"/>
        <c:crossBetween val="midCat"/>
      </c:valAx>
      <c:valAx>
        <c:axId val="59760829"/>
        <c:scaling>
          <c:orientation val="minMax"/>
          <c:max val="3.36"/>
          <c:min val="2.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écart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87747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535680</xdr:colOff>
      <xdr:row>53</xdr:row>
      <xdr:rowOff>59400</xdr:rowOff>
    </xdr:from>
    <xdr:to>
      <xdr:col>39</xdr:col>
      <xdr:colOff>50400</xdr:colOff>
      <xdr:row>142</xdr:row>
      <xdr:rowOff>94680</xdr:rowOff>
    </xdr:to>
    <xdr:graphicFrame>
      <xdr:nvGraphicFramePr>
        <xdr:cNvPr id="0" name="Graphique 2"/>
        <xdr:cNvGraphicFramePr/>
      </xdr:nvGraphicFramePr>
      <xdr:xfrm>
        <a:off x="3547800" y="8472960"/>
        <a:ext cx="25873560" cy="1416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G193"/>
  <sheetViews>
    <sheetView showFormulas="false" showGridLines="true" showRowColHeaders="true" showZeros="true" rightToLeft="false" tabSelected="false" showOutlineSymbols="true" defaultGridColor="true" view="normal" topLeftCell="A116" colorId="64" zoomScale="80" zoomScaleNormal="80" zoomScalePageLayoutView="100" workbookViewId="0">
      <selection pane="topLeft" activeCell="B11" activeCellId="0" sqref="B11"/>
    </sheetView>
  </sheetViews>
  <sheetFormatPr defaultColWidth="10.6875" defaultRowHeight="12.5" zeroHeight="false" outlineLevelRow="0" outlineLevelCol="0"/>
  <sheetData>
    <row r="6" customFormat="false" ht="12.5" hidden="false" customHeight="false" outlineLevel="0" collapsed="false">
      <c r="B6" s="1" t="s">
        <v>0</v>
      </c>
      <c r="C6" s="0" t="n">
        <f aca="false">C67-C10</f>
        <v>0.359</v>
      </c>
    </row>
    <row r="7" customFormat="false" ht="12.5" hidden="false" customHeight="false" outlineLevel="0" collapsed="false">
      <c r="B7" s="0" t="s">
        <v>1</v>
      </c>
      <c r="C7" s="0" t="n">
        <f aca="false">STDEV(C10:C58)</f>
        <v>0.0692657924231002</v>
      </c>
    </row>
    <row r="8" customFormat="false" ht="12.5" hidden="false" customHeight="false" outlineLevel="0" collapsed="false">
      <c r="B8" s="0" t="s">
        <v>2</v>
      </c>
      <c r="C8" s="0" t="n">
        <f aca="false">AVERAGE(C10:C58)</f>
        <v>2.53771428571429</v>
      </c>
    </row>
    <row r="9" customFormat="false" ht="12.5" hidden="false" customHeight="false" outlineLevel="0" collapsed="false">
      <c r="C9" s="0" t="s">
        <v>3</v>
      </c>
    </row>
    <row r="10" customFormat="false" ht="12.5" hidden="false" customHeight="false" outlineLevel="0" collapsed="false">
      <c r="A10" s="0" t="s">
        <v>4</v>
      </c>
      <c r="B10" s="2" t="n">
        <v>40502</v>
      </c>
      <c r="C10" s="0" t="n">
        <v>2.38</v>
      </c>
    </row>
    <row r="11" customFormat="false" ht="12.5" hidden="false" customHeight="false" outlineLevel="0" collapsed="false">
      <c r="B11" s="2" t="n">
        <v>40517</v>
      </c>
      <c r="C11" s="0" t="n">
        <v>2.376</v>
      </c>
      <c r="D11" s="0" t="n">
        <f aca="false">(C12-C10)/(B12-B10)/($C$7)+$C$8</f>
        <v>2.53179135614249</v>
      </c>
    </row>
    <row r="12" customFormat="false" ht="12.5" hidden="false" customHeight="false" outlineLevel="0" collapsed="false">
      <c r="B12" s="2" t="n">
        <v>40541</v>
      </c>
      <c r="C12" s="0" t="n">
        <v>2.364</v>
      </c>
      <c r="D12" s="0" t="n">
        <f aca="false">(C13-C11)/(B13-B11)/($C$7)+$C$8</f>
        <v>2.54218102541898</v>
      </c>
    </row>
    <row r="13" customFormat="false" ht="12.5" hidden="false" customHeight="false" outlineLevel="0" collapsed="false">
      <c r="B13" s="2" t="n">
        <v>40698</v>
      </c>
      <c r="C13" s="0" t="n">
        <v>2.432</v>
      </c>
      <c r="D13" s="0" t="n">
        <f aca="false">(C14-C12)/(B14-B12)/($C$7)+$C$8</f>
        <v>2.54287616846959</v>
      </c>
    </row>
    <row r="14" customFormat="false" ht="12.5" hidden="false" customHeight="false" outlineLevel="0" collapsed="false">
      <c r="B14" s="2" t="n">
        <v>40720</v>
      </c>
      <c r="C14" s="0" t="n">
        <v>2.428</v>
      </c>
      <c r="D14" s="0" t="n">
        <f aca="false">(C15-C13)/(B15-B13)/($C$7)+$C$8</f>
        <v>2.5615669531746</v>
      </c>
    </row>
    <row r="15" customFormat="false" ht="12.5" hidden="false" customHeight="false" outlineLevel="0" collapsed="false">
      <c r="B15" s="2" t="n">
        <v>40721</v>
      </c>
      <c r="C15" s="0" t="n">
        <v>2.47</v>
      </c>
      <c r="D15" s="0" t="n">
        <f aca="false">(C16-C14)/(B16-B14)/($C$7)+$C$8</f>
        <v>2.53493122242152</v>
      </c>
    </row>
    <row r="16" customFormat="false" ht="12.5" hidden="false" customHeight="false" outlineLevel="0" collapsed="false">
      <c r="B16" s="2" t="n">
        <v>40803</v>
      </c>
      <c r="C16" s="0" t="n">
        <v>2.412</v>
      </c>
      <c r="D16" s="0" t="n">
        <f aca="false">(C17-C15)/(B17-B15)/($C$7)+$C$8</f>
        <v>2.53931841247331</v>
      </c>
    </row>
    <row r="17" customFormat="false" ht="12.5" hidden="false" customHeight="false" outlineLevel="0" collapsed="false">
      <c r="B17" s="2" t="n">
        <v>41063</v>
      </c>
      <c r="C17" s="0" t="n">
        <v>2.508</v>
      </c>
      <c r="D17" s="0" t="n">
        <f aca="false">(C18-C16)/(B18-B16)/($C$7)+$C$8</f>
        <v>2.5411748737787</v>
      </c>
    </row>
    <row r="18" customFormat="false" ht="12.5" hidden="false" customHeight="false" outlineLevel="0" collapsed="false">
      <c r="B18" s="2" t="n">
        <v>41070</v>
      </c>
      <c r="C18" s="0" t="n">
        <v>2.476</v>
      </c>
      <c r="D18" s="0" t="n">
        <f aca="false">(C19-C17)/(B19-B17)/($C$7)+$C$8</f>
        <v>2.49536533927597</v>
      </c>
    </row>
    <row r="19" customFormat="false" ht="12.5" hidden="false" customHeight="false" outlineLevel="0" collapsed="false">
      <c r="B19" s="2" t="n">
        <v>41078</v>
      </c>
      <c r="C19" s="0" t="n">
        <v>2.464</v>
      </c>
      <c r="D19" s="0" t="n">
        <f aca="false">(C20-C18)/(B20-B18)/($C$7)+$C$8</f>
        <v>2.54620672149737</v>
      </c>
    </row>
    <row r="20" customFormat="false" ht="12.5" hidden="false" customHeight="false" outlineLevel="0" collapsed="false">
      <c r="B20" s="2" t="n">
        <v>41104</v>
      </c>
      <c r="C20" s="0" t="n">
        <v>2.496</v>
      </c>
      <c r="D20" s="0" t="n">
        <f aca="false">(C21-C19)/(B21-B19)/($C$7)+$C$8</f>
        <v>2.54655335152933</v>
      </c>
    </row>
    <row r="21" customFormat="false" ht="12.5" hidden="false" customHeight="false" outlineLevel="0" collapsed="false">
      <c r="B21" s="2" t="n">
        <v>41127</v>
      </c>
      <c r="C21" s="0" t="n">
        <v>2.494</v>
      </c>
      <c r="D21" s="0" t="n">
        <f aca="false">(C22-C20)/(B22-B20)/($C$7)+$C$8</f>
        <v>2.55936999696115</v>
      </c>
    </row>
    <row r="22" customFormat="false" ht="12.5" hidden="false" customHeight="false" outlineLevel="0" collapsed="false">
      <c r="B22" s="2" t="n">
        <v>41132</v>
      </c>
      <c r="C22" s="0" t="n">
        <v>2.538</v>
      </c>
      <c r="D22" s="0" t="n">
        <f aca="false">(C23-C21)/(B23-B21)/($C$7)+$C$8</f>
        <v>2.67919826586048</v>
      </c>
    </row>
    <row r="23" customFormat="false" ht="12.5" hidden="false" customHeight="false" outlineLevel="0" collapsed="false">
      <c r="A23" s="0" t="s">
        <v>5</v>
      </c>
      <c r="B23" s="2" t="n">
        <v>41132</v>
      </c>
      <c r="C23" s="0" t="n">
        <v>2.543</v>
      </c>
      <c r="D23" s="0" t="n">
        <f aca="false">(C24-C22)/(B24-B22)/($C$7)+$C$8</f>
        <v>2.53590964311038</v>
      </c>
    </row>
    <row r="24" customFormat="false" ht="12.5" hidden="false" customHeight="false" outlineLevel="0" collapsed="false">
      <c r="B24" s="2" t="n">
        <v>41156</v>
      </c>
      <c r="C24" s="0" t="n">
        <v>2.535</v>
      </c>
      <c r="D24" s="0" t="n">
        <f aca="false">(C25-C23)/(B25-B23)/($C$7)+$C$8</f>
        <v>2.53117671250768</v>
      </c>
    </row>
    <row r="25" customFormat="false" ht="12.5" hidden="false" customHeight="false" outlineLevel="0" collapsed="false">
      <c r="B25" s="2" t="n">
        <v>41185</v>
      </c>
      <c r="C25" s="0" t="n">
        <v>2.519</v>
      </c>
      <c r="D25" s="0" t="n">
        <f aca="false">(C26-C24)/(B26-B24)/($C$7)+$C$8</f>
        <v>2.53063191474047</v>
      </c>
    </row>
    <row r="26" customFormat="false" ht="12.5" hidden="false" customHeight="false" outlineLevel="0" collapsed="false">
      <c r="B26" s="2" t="n">
        <v>41209</v>
      </c>
      <c r="C26" s="0" t="n">
        <v>2.509</v>
      </c>
      <c r="D26" s="0" t="n">
        <f aca="false">(C27-C25)/(B27-B25)/($C$7)+$C$8</f>
        <v>2.53585142883283</v>
      </c>
    </row>
    <row r="27" customFormat="false" ht="12.5" hidden="false" customHeight="false" outlineLevel="0" collapsed="false">
      <c r="B27" s="2" t="n">
        <v>41216</v>
      </c>
      <c r="C27" s="0" t="n">
        <v>2.515</v>
      </c>
      <c r="D27" s="0" t="n">
        <f aca="false">(C28-C26)/(B28-B26)/($C$7)+$C$8</f>
        <v>2.54653698288893</v>
      </c>
    </row>
    <row r="28" customFormat="false" ht="12.5" hidden="false" customHeight="false" outlineLevel="0" collapsed="false">
      <c r="B28" s="2" t="n">
        <v>41227</v>
      </c>
      <c r="C28" s="0" t="n">
        <v>2.52</v>
      </c>
      <c r="D28" s="0" t="n">
        <f aca="false">(C29-C27)/(B29-B27)/($C$7)+$C$8</f>
        <v>2.53467488764455</v>
      </c>
    </row>
    <row r="29" customFormat="false" ht="12.5" hidden="false" customHeight="false" outlineLevel="0" collapsed="false">
      <c r="B29" s="2" t="n">
        <v>41254</v>
      </c>
      <c r="C29" s="0" t="n">
        <v>2.507</v>
      </c>
      <c r="D29" s="0" t="n">
        <f aca="false">(C30-C28)/(B30-B28)/($C$7)+$C$8</f>
        <v>2.53518145398951</v>
      </c>
    </row>
    <row r="30" customFormat="false" ht="12.5" hidden="false" customHeight="false" outlineLevel="0" collapsed="false">
      <c r="B30" s="2" t="n">
        <v>41284</v>
      </c>
      <c r="C30" s="0" t="n">
        <v>2.51</v>
      </c>
      <c r="D30" s="0" t="n">
        <f aca="false">(C31-C29)/(B31-B29)/($C$7)+$C$8</f>
        <v>2.54271175754049</v>
      </c>
    </row>
    <row r="31" customFormat="false" ht="12.5" hidden="false" customHeight="false" outlineLevel="0" collapsed="false">
      <c r="B31" s="2" t="n">
        <v>41306</v>
      </c>
      <c r="C31" s="0" t="n">
        <v>2.525</v>
      </c>
      <c r="D31" s="0" t="n">
        <f aca="false">(C32-C30)/(B32-B30)/($C$7)+$C$8</f>
        <v>2.5403737590253</v>
      </c>
    </row>
    <row r="32" customFormat="false" ht="12.5" hidden="false" customHeight="false" outlineLevel="0" collapsed="false">
      <c r="B32" s="2" t="n">
        <v>41322</v>
      </c>
      <c r="C32" s="0" t="n">
        <v>2.517</v>
      </c>
      <c r="D32" s="0" t="n">
        <f aca="false">(C33-C31)/(B33-B31)/($C$7)+$C$8</f>
        <v>2.53629887975044</v>
      </c>
    </row>
    <row r="33" customFormat="false" ht="12.5" hidden="false" customHeight="false" outlineLevel="0" collapsed="false">
      <c r="B33" s="2" t="n">
        <v>41357</v>
      </c>
      <c r="C33" s="0" t="n">
        <v>2.52</v>
      </c>
      <c r="D33" s="0" t="n">
        <f aca="false">(C34-C32)/(B34-B32)/($C$7)+$C$8</f>
        <v>2.54340164422356</v>
      </c>
    </row>
    <row r="34" customFormat="false" ht="12.5" hidden="false" customHeight="false" outlineLevel="0" collapsed="false">
      <c r="B34" s="2" t="n">
        <v>41388</v>
      </c>
      <c r="C34" s="0" t="n">
        <v>2.543</v>
      </c>
      <c r="D34" s="0" t="n">
        <f aca="false">(C35-C33)/(B35-B33)/($C$7)+$C$8</f>
        <v>2.54769289775941</v>
      </c>
    </row>
    <row r="35" customFormat="false" ht="12.5" hidden="false" customHeight="false" outlineLevel="0" collapsed="false">
      <c r="B35" s="2" t="n">
        <v>41425</v>
      </c>
      <c r="C35" s="0" t="n">
        <v>2.567</v>
      </c>
      <c r="D35" s="0" t="n">
        <f aca="false">(C36-C34)/(B36-B34)/($C$7)+$C$8</f>
        <v>2.54724824664058</v>
      </c>
    </row>
    <row r="36" customFormat="false" ht="12.5" hidden="false" customHeight="false" outlineLevel="0" collapsed="false">
      <c r="B36" s="2" t="n">
        <v>41441</v>
      </c>
      <c r="C36" s="0" t="n">
        <v>2.578</v>
      </c>
      <c r="D36" s="0" t="n">
        <f aca="false">(C37-C35)/(B37-B35)/($C$7)+$C$8</f>
        <v>2.54156418993595</v>
      </c>
    </row>
    <row r="37" customFormat="false" ht="12.5" hidden="false" customHeight="false" outlineLevel="0" collapsed="false">
      <c r="B37" s="2" t="n">
        <v>41455</v>
      </c>
      <c r="C37" s="0" t="n">
        <v>2.575</v>
      </c>
      <c r="D37" s="0" t="n">
        <f aca="false">(C38-C36)/(B38-B36)/($C$7)+$C$8</f>
        <v>2.54685780824074</v>
      </c>
    </row>
    <row r="38" customFormat="false" ht="12.5" hidden="false" customHeight="false" outlineLevel="0" collapsed="false">
      <c r="B38" s="2" t="n">
        <v>41471</v>
      </c>
      <c r="C38" s="0" t="n">
        <v>2.597</v>
      </c>
      <c r="D38" s="0" t="n">
        <f aca="false">(C39-C37)/(B39-B37)/($C$7)+$C$8</f>
        <v>2.54394207195521</v>
      </c>
    </row>
    <row r="39" customFormat="false" ht="12.5" hidden="false" customHeight="false" outlineLevel="0" collapsed="false">
      <c r="B39" s="2" t="n">
        <v>41506</v>
      </c>
      <c r="C39" s="0" t="n">
        <v>2.597</v>
      </c>
      <c r="D39" s="0" t="n">
        <f aca="false">(C40-C38)/(B40-B38)/($C$7)+$C$8</f>
        <v>2.54196050360583</v>
      </c>
    </row>
    <row r="40" customFormat="false" ht="12.5" hidden="false" customHeight="false" outlineLevel="0" collapsed="false">
      <c r="B40" s="2" t="n">
        <v>41522</v>
      </c>
      <c r="C40" s="0" t="n">
        <v>2.612</v>
      </c>
      <c r="D40" s="0" t="n">
        <f aca="false">(C41-C39)/(B41-B39)/($C$7)+$C$8</f>
        <v>2.53490706388599</v>
      </c>
    </row>
    <row r="41" customFormat="false" ht="12.5" hidden="false" customHeight="false" outlineLevel="0" collapsed="false">
      <c r="B41" s="2" t="n">
        <v>41542</v>
      </c>
      <c r="C41" s="0" t="n">
        <v>2.59</v>
      </c>
      <c r="D41" s="0" t="n">
        <f aca="false">(C42-C40)/(B42-B40)/($C$7)+$C$8</f>
        <v>2.52222076872466</v>
      </c>
    </row>
    <row r="42" customFormat="false" ht="12.5" hidden="false" customHeight="false" outlineLevel="0" collapsed="false">
      <c r="B42" s="2" t="n">
        <v>41563</v>
      </c>
      <c r="C42" s="0" t="n">
        <v>2.568</v>
      </c>
      <c r="D42" s="0" t="n">
        <f aca="false">(C43-C41)/(B43-B41)/($C$7)+$C$8</f>
        <v>2.5329019054372</v>
      </c>
    </row>
    <row r="43" customFormat="false" ht="12.5" hidden="false" customHeight="false" outlineLevel="0" collapsed="false">
      <c r="B43" s="2" t="n">
        <v>41584</v>
      </c>
      <c r="C43" s="0" t="n">
        <v>2.576</v>
      </c>
      <c r="D43" s="0" t="n">
        <f aca="false">(C44-C42)/(B44-B42)/($C$7)+$C$8</f>
        <v>2.54008103011285</v>
      </c>
    </row>
    <row r="44" customFormat="false" ht="12.5" hidden="false" customHeight="false" outlineLevel="0" collapsed="false">
      <c r="B44" s="2" t="n">
        <v>41624</v>
      </c>
      <c r="C44" s="0" t="n">
        <v>2.578</v>
      </c>
      <c r="D44" s="0" t="n">
        <f aca="false">(C45-C43)/(B45-B43)/($C$7)+$C$8</f>
        <v>2.538187634594</v>
      </c>
    </row>
    <row r="45" customFormat="false" ht="12.5" hidden="false" customHeight="false" outlineLevel="0" collapsed="false">
      <c r="B45" s="2" t="n">
        <v>41645</v>
      </c>
      <c r="C45" s="0" t="n">
        <v>2.578</v>
      </c>
      <c r="D45" s="0" t="n">
        <f aca="false">(C46-C44)/(B46-B44)/($C$7)+$C$8</f>
        <v>2.5363171430532</v>
      </c>
    </row>
    <row r="46" customFormat="false" ht="12.5" hidden="false" customHeight="false" outlineLevel="0" collapsed="false">
      <c r="B46" s="2" t="n">
        <v>41655</v>
      </c>
      <c r="C46" s="0" t="n">
        <v>2.575</v>
      </c>
      <c r="D46" s="0" t="n">
        <f aca="false">(C47-C45)/(B47-B45)/($C$7)+$C$8</f>
        <v>2.53771428571429</v>
      </c>
    </row>
    <row r="47" customFormat="false" ht="12.5" hidden="false" customHeight="false" outlineLevel="0" collapsed="false">
      <c r="B47" s="2" t="n">
        <v>41674</v>
      </c>
      <c r="C47" s="0" t="n">
        <v>2.578</v>
      </c>
      <c r="D47" s="0" t="n">
        <f aca="false">(C48-C46)/(B48-B46)/($C$7)+$C$8</f>
        <v>2.53951892831819</v>
      </c>
    </row>
    <row r="48" customFormat="false" ht="12.5" hidden="false" customHeight="false" outlineLevel="0" collapsed="false">
      <c r="B48" s="2" t="n">
        <v>41687</v>
      </c>
      <c r="C48" s="0" t="n">
        <v>2.579</v>
      </c>
      <c r="D48" s="0" t="n">
        <f aca="false">(C49-C47)/(B49-B47)/($C$7)+$C$8</f>
        <v>2.53771428571429</v>
      </c>
    </row>
    <row r="49" customFormat="false" ht="12.5" hidden="false" customHeight="false" outlineLevel="0" collapsed="false">
      <c r="B49" s="2" t="n">
        <v>41700</v>
      </c>
      <c r="C49" s="0" t="n">
        <v>2.578</v>
      </c>
      <c r="D49" s="0" t="n">
        <f aca="false">(C50-C48)/(B50-B48)/($C$7)+$C$8</f>
        <v>2.5386767617697</v>
      </c>
    </row>
    <row r="50" customFormat="false" ht="12.5" hidden="false" customHeight="false" outlineLevel="0" collapsed="false">
      <c r="B50" s="2" t="n">
        <v>41717</v>
      </c>
      <c r="C50" s="0" t="n">
        <v>2.581</v>
      </c>
      <c r="D50" s="0" t="n">
        <f aca="false">(C51-C49)/(B51-B49)/($C$7)+$C$8</f>
        <v>2.54733904626845</v>
      </c>
    </row>
    <row r="51" customFormat="false" ht="12.5" hidden="false" customHeight="false" outlineLevel="0" collapsed="false">
      <c r="B51" s="2" t="n">
        <v>41733</v>
      </c>
      <c r="C51" s="0" t="n">
        <v>2.6</v>
      </c>
      <c r="D51" s="0" t="n">
        <f aca="false">(C52-C50)/(B52-B50)/($C$7)+$C$8</f>
        <v>2.54434756663675</v>
      </c>
    </row>
    <row r="52" customFormat="false" ht="12.5" hidden="false" customHeight="false" outlineLevel="0" collapsed="false">
      <c r="B52" s="2" t="n">
        <v>41754</v>
      </c>
      <c r="C52" s="0" t="n">
        <v>2.598</v>
      </c>
      <c r="D52" s="0" t="n">
        <f aca="false">(C53-C51)/(B53-B51)/($C$7)+$C$8</f>
        <v>2.53513622485156</v>
      </c>
    </row>
    <row r="53" customFormat="false" ht="12.5" hidden="false" customHeight="false" outlineLevel="0" collapsed="false">
      <c r="B53" s="2" t="n">
        <v>41761</v>
      </c>
      <c r="C53" s="0" t="n">
        <v>2.595</v>
      </c>
      <c r="D53" s="0" t="n">
        <f aca="false">(C54-C52)/(B54-B52)/($C$7)+$C$8</f>
        <v>2.55149519287138</v>
      </c>
    </row>
    <row r="54" customFormat="false" ht="12.5" hidden="false" customHeight="false" outlineLevel="0" collapsed="false">
      <c r="B54" s="2" t="n">
        <v>41776</v>
      </c>
      <c r="C54" s="0" t="n">
        <v>2.619</v>
      </c>
      <c r="D54" s="0" t="n">
        <f aca="false">(C55-C53)/(B55-B53)/($C$7)+$C$8</f>
        <v>2.54569270564734</v>
      </c>
    </row>
    <row r="55" customFormat="false" ht="12.5" hidden="false" customHeight="false" outlineLevel="0" collapsed="false">
      <c r="B55" s="2" t="n">
        <v>41799</v>
      </c>
      <c r="C55" s="0" t="n">
        <v>2.616</v>
      </c>
      <c r="D55" s="0" t="n">
        <f aca="false">(C56-C54)/(B56-B54)/($C$7)+$C$8</f>
        <v>2.53896968926483</v>
      </c>
    </row>
    <row r="56" customFormat="false" ht="12.5" hidden="false" customHeight="false" outlineLevel="0" collapsed="false">
      <c r="B56" s="2" t="n">
        <v>41822</v>
      </c>
      <c r="C56" s="0" t="n">
        <v>2.623</v>
      </c>
      <c r="D56" s="0" t="n">
        <f aca="false">(C57-C55)/(B57-B55)/($C$7)+$C$8</f>
        <v>2.55363215893848</v>
      </c>
    </row>
    <row r="57" customFormat="false" ht="12.5" hidden="false" customHeight="false" outlineLevel="0" collapsed="false">
      <c r="B57" s="2" t="n">
        <v>41838</v>
      </c>
      <c r="C57" s="0" t="n">
        <v>2.659</v>
      </c>
      <c r="D57" s="0" t="n">
        <f aca="false">(C58-C56)/(B58-B56)/($C$7)+$C$8</f>
        <v>2.54087241027112</v>
      </c>
    </row>
    <row r="58" customFormat="false" ht="12.5" hidden="false" customHeight="false" outlineLevel="0" collapsed="false">
      <c r="B58" s="2" t="n">
        <v>41854</v>
      </c>
      <c r="C58" s="0" t="n">
        <v>2.63</v>
      </c>
      <c r="D58" s="0" t="n">
        <f aca="false">(C59-C57)/(B59-B57)/($C$7)+$C$8</f>
        <v>2.53390813040423</v>
      </c>
    </row>
    <row r="59" customFormat="false" ht="12.5" hidden="false" customHeight="false" outlineLevel="0" collapsed="false">
      <c r="B59" s="2" t="n">
        <v>41948</v>
      </c>
      <c r="C59" s="0" t="n">
        <v>2.63</v>
      </c>
      <c r="D59" s="0" t="n">
        <f aca="false">(C60-C58)/(B60-B58)/($C$7)+$C$8</f>
        <v>2.53597020158702</v>
      </c>
    </row>
    <row r="60" customFormat="false" ht="12.5" hidden="false" customHeight="false" outlineLevel="0" collapsed="false">
      <c r="B60" s="2" t="n">
        <v>42003</v>
      </c>
      <c r="C60" s="0" t="n">
        <v>2.612</v>
      </c>
      <c r="D60" s="0" t="n">
        <f aca="false">(C61-C59)/(B61-B59)/($C$7)+$C$8</f>
        <v>2.53588890009194</v>
      </c>
    </row>
    <row r="61" customFormat="false" ht="12.5" hidden="false" customHeight="false" outlineLevel="0" collapsed="false">
      <c r="B61" s="2" t="n">
        <v>42035</v>
      </c>
      <c r="C61" s="0" t="n">
        <v>2.619</v>
      </c>
      <c r="D61" s="0" t="n">
        <f aca="false">(C62-C60)/(B62-B60)/($C$7)+$C$8</f>
        <v>2.54386782115055</v>
      </c>
    </row>
    <row r="62" customFormat="false" ht="12.5" hidden="false" customHeight="false" outlineLevel="0" collapsed="false">
      <c r="B62" s="2" t="n">
        <v>42064</v>
      </c>
      <c r="C62" s="0" t="n">
        <v>2.638</v>
      </c>
      <c r="D62" s="0" t="n">
        <f aca="false">(C63-C61)/(B63-B61)/($C$7)+$C$8</f>
        <v>2.55176123355009</v>
      </c>
    </row>
    <row r="63" customFormat="false" ht="12.5" hidden="false" customHeight="false" outlineLevel="0" collapsed="false">
      <c r="B63" s="2" t="n">
        <v>42109</v>
      </c>
      <c r="C63" s="0" t="n">
        <v>2.691</v>
      </c>
      <c r="D63" s="0" t="n">
        <f aca="false">(C64-C62)/(B64-B62)/($C$7)+$C$8</f>
        <v>2.54634135767442</v>
      </c>
    </row>
    <row r="64" customFormat="false" ht="12.5" hidden="false" customHeight="false" outlineLevel="0" collapsed="false">
      <c r="B64" s="2" t="n">
        <v>42146</v>
      </c>
      <c r="C64" s="0" t="n">
        <v>2.687</v>
      </c>
      <c r="D64" s="0" t="n">
        <f aca="false">(C65-C63)/(B65-B63)/($C$7)+$C$8</f>
        <v>2.54055015266328</v>
      </c>
    </row>
    <row r="65" customFormat="false" ht="12.5" hidden="false" customHeight="false" outlineLevel="0" collapsed="false">
      <c r="B65" s="2" t="n">
        <v>42165</v>
      </c>
      <c r="C65" s="0" t="n">
        <v>2.702</v>
      </c>
      <c r="D65" s="0" t="n">
        <f aca="false">(C66-C64)/(B66-B64)/($C$7)+$C$8</f>
        <v>2.55421387523571</v>
      </c>
    </row>
    <row r="66" customFormat="false" ht="12.5" hidden="false" customHeight="false" outlineLevel="0" collapsed="false">
      <c r="B66" s="2" t="n">
        <v>42188</v>
      </c>
      <c r="C66" s="0" t="n">
        <v>2.735</v>
      </c>
      <c r="D66" s="0" t="n">
        <f aca="false">(C67-C65)/(B67-B65)/($C$7)+$C$8</f>
        <v>2.54798686669036</v>
      </c>
    </row>
    <row r="67" customFormat="false" ht="12.5" hidden="false" customHeight="false" outlineLevel="0" collapsed="false">
      <c r="B67" s="2" t="n">
        <v>42217</v>
      </c>
      <c r="C67" s="0" t="n">
        <v>2.739</v>
      </c>
      <c r="D67" s="0" t="n">
        <f aca="false">(C68-C66)/(B68-B66)/($C$7)+$C$8</f>
        <v>2.5410717603262</v>
      </c>
    </row>
    <row r="68" customFormat="false" ht="12.5" hidden="false" customHeight="false" outlineLevel="0" collapsed="false">
      <c r="B68" s="2" t="n">
        <v>42231</v>
      </c>
      <c r="C68" s="0" t="n">
        <v>2.745</v>
      </c>
      <c r="D68" s="0" t="n">
        <f aca="false">(C69-C67)/(B69-B67)/($C$7)+$C$8</f>
        <v>2.54296415510747</v>
      </c>
    </row>
    <row r="69" customFormat="false" ht="12.5" hidden="false" customHeight="false" outlineLevel="0" collapsed="false">
      <c r="B69" s="2" t="n">
        <v>42250</v>
      </c>
      <c r="C69" s="0" t="n">
        <v>2.751</v>
      </c>
      <c r="D69" s="0" t="n">
        <f aca="false">(C70-C68)/(B70-B68)/($C$7)+$C$8</f>
        <v>2.54342898729332</v>
      </c>
    </row>
    <row r="70" customFormat="false" ht="12.5" hidden="false" customHeight="false" outlineLevel="0" collapsed="false">
      <c r="B70" s="2" t="n">
        <v>42279</v>
      </c>
      <c r="C70" s="0" t="n">
        <v>2.764</v>
      </c>
      <c r="D70" s="0" t="n">
        <f aca="false">(C71-C69)/(B71-B69)/($C$7)+$C$8</f>
        <v>2.53977673440446</v>
      </c>
      <c r="F70" s="2"/>
    </row>
    <row r="71" customFormat="false" ht="12.5" hidden="false" customHeight="false" outlineLevel="0" collapsed="false">
      <c r="B71" s="2" t="n">
        <v>42369</v>
      </c>
      <c r="C71" s="0" t="n">
        <v>2.768</v>
      </c>
      <c r="D71" s="0" t="n">
        <f aca="false">(C72-C70)/(B72-B70)/($C$7)+$C$8</f>
        <v>2.53885405999044</v>
      </c>
      <c r="F71" s="2"/>
    </row>
    <row r="72" customFormat="false" ht="12.5" hidden="false" customHeight="false" outlineLevel="0" collapsed="false">
      <c r="B72" s="2" t="n">
        <v>42393</v>
      </c>
      <c r="C72" s="0" t="n">
        <v>2.773</v>
      </c>
      <c r="D72" s="0" t="n">
        <f aca="false">(C73-C71)/(B73-B71)/($C$7)+$C$8</f>
        <v>2.54074142814664</v>
      </c>
      <c r="F72" s="2"/>
    </row>
    <row r="73" customFormat="false" ht="12.5" hidden="false" customHeight="false" outlineLevel="0" collapsed="false">
      <c r="B73" s="2" t="n">
        <v>42431</v>
      </c>
      <c r="C73" s="0" t="n">
        <v>2.781</v>
      </c>
      <c r="D73" s="0" t="n">
        <f aca="false">(C74-C72)/(B74-B72)/($C$7)+$C$8</f>
        <v>2.54406662768003</v>
      </c>
      <c r="F73" s="2"/>
    </row>
    <row r="74" customFormat="false" ht="12.5" hidden="false" customHeight="false" outlineLevel="0" collapsed="false">
      <c r="B74" s="2" t="n">
        <v>42468</v>
      </c>
      <c r="C74" s="0" t="n">
        <v>2.806</v>
      </c>
      <c r="D74" s="0" t="n">
        <f aca="false">(C75-C73)/(B75-B73)/($C$7)+$C$8</f>
        <v>2.55490135813243</v>
      </c>
      <c r="F74" s="3"/>
      <c r="G74" s="4"/>
    </row>
    <row r="75" customFormat="false" ht="12.5" hidden="false" customHeight="false" outlineLevel="0" collapsed="false">
      <c r="B75" s="3" t="n">
        <v>42473</v>
      </c>
      <c r="C75" s="4" t="n">
        <v>2.831</v>
      </c>
      <c r="D75" s="0" t="n">
        <f aca="false">(C76-C74)/(B76-B74)/($C$7)+$C$8</f>
        <v>2.55215142654553</v>
      </c>
      <c r="F75" s="2"/>
    </row>
    <row r="76" customFormat="false" ht="12.5" hidden="false" customHeight="false" outlineLevel="0" collapsed="false">
      <c r="B76" s="2" t="n">
        <v>42477</v>
      </c>
      <c r="C76" s="0" t="n">
        <v>2.815</v>
      </c>
      <c r="D76" s="0" t="n">
        <f aca="false">(C77-C75)/(B77-B75)/($C$7)+$C$8</f>
        <v>2.56031154962406</v>
      </c>
      <c r="F76" s="2"/>
    </row>
    <row r="77" customFormat="false" ht="12.5" hidden="false" customHeight="false" outlineLevel="0" collapsed="false">
      <c r="B77" s="2" t="n">
        <v>42496</v>
      </c>
      <c r="C77" s="0" t="n">
        <v>2.867</v>
      </c>
      <c r="D77" s="0" t="n">
        <f aca="false">(C78-C76)/(B78-B76)/($C$7)+$C$8</f>
        <v>2.57315090411825</v>
      </c>
      <c r="F77" s="2"/>
    </row>
    <row r="78" customFormat="false" ht="12.5" hidden="false" customHeight="false" outlineLevel="0" collapsed="false">
      <c r="B78" s="2" t="n">
        <v>42499</v>
      </c>
      <c r="C78" s="0" t="n">
        <v>2.869</v>
      </c>
      <c r="D78" s="0" t="n">
        <f aca="false">(C79-C77)/(B79-B77)/($C$7)+$C$8</f>
        <v>2.53373162617463</v>
      </c>
    </row>
    <row r="79" customFormat="false" ht="12.5" hidden="false" customHeight="false" outlineLevel="0" collapsed="false">
      <c r="B79" s="2" t="n">
        <v>42525</v>
      </c>
      <c r="C79" s="0" t="n">
        <v>2.859</v>
      </c>
      <c r="D79" s="0" t="n">
        <f aca="false">(C80-C78)/(B80-B78)/($C$7)+$C$8</f>
        <v>2.53853926519036</v>
      </c>
    </row>
    <row r="80" customFormat="false" ht="12.5" hidden="false" customHeight="false" outlineLevel="0" collapsed="false">
      <c r="B80" s="2" t="n">
        <v>42534</v>
      </c>
      <c r="C80" s="0" t="n">
        <v>2.871</v>
      </c>
      <c r="D80" s="0" t="n">
        <f aca="false">(C81-C79)/(B81-B79)/($C$7)+$C$8</f>
        <v>2.545964080475</v>
      </c>
    </row>
    <row r="81" customFormat="false" ht="12.5" hidden="false" customHeight="false" outlineLevel="0" collapsed="false">
      <c r="B81" s="2" t="n">
        <v>42553</v>
      </c>
      <c r="C81" s="0" t="n">
        <v>2.875</v>
      </c>
      <c r="D81" s="0" t="n">
        <f aca="false">(C82-C80)/(B82-B80)/($C$7)+$C$8</f>
        <v>2.55065792921816</v>
      </c>
    </row>
    <row r="82" customFormat="false" ht="12.5" hidden="false" customHeight="false" outlineLevel="0" collapsed="false">
      <c r="B82" s="2" t="n">
        <v>42563</v>
      </c>
      <c r="C82" s="0" t="n">
        <v>2.897</v>
      </c>
      <c r="D82" s="0" t="n">
        <f aca="false">(C83-C81)/(B83-B81)/($C$7)+$C$8</f>
        <v>2.58343189834656</v>
      </c>
    </row>
    <row r="83" customFormat="false" ht="12.5" hidden="false" customHeight="false" outlineLevel="0" collapsed="false">
      <c r="B83" s="2" t="n">
        <v>42571</v>
      </c>
      <c r="C83" s="0" t="n">
        <v>2.932</v>
      </c>
      <c r="D83" s="0" t="n">
        <f aca="false">(C84-C82)/(B84-B82)/($C$7)+$C$8</f>
        <v>2.54573491950942</v>
      </c>
    </row>
    <row r="84" customFormat="false" ht="12.5" hidden="false" customHeight="false" outlineLevel="0" collapsed="false">
      <c r="B84" s="2" t="n">
        <v>42581</v>
      </c>
      <c r="C84" s="0" t="n">
        <v>2.907</v>
      </c>
      <c r="D84" s="0" t="n">
        <f aca="false">(C85-C83)/(B85-B83)/($C$7)+$C$8</f>
        <v>2.5274020422634</v>
      </c>
    </row>
    <row r="85" customFormat="false" ht="12.5" hidden="false" customHeight="false" outlineLevel="0" collapsed="false">
      <c r="B85" s="2" t="n">
        <v>42592</v>
      </c>
      <c r="C85" s="0" t="n">
        <v>2.917</v>
      </c>
      <c r="D85" s="0" t="n">
        <f aca="false">(C86-C84)/(B86-B84)/($C$7)+$C$8</f>
        <v>2.54321414888809</v>
      </c>
    </row>
    <row r="86" customFormat="false" ht="12.5" hidden="false" customHeight="false" outlineLevel="0" collapsed="false">
      <c r="B86" s="2" t="n">
        <v>42602</v>
      </c>
      <c r="C86" s="0" t="n">
        <v>2.915</v>
      </c>
      <c r="D86" s="0" t="n">
        <f aca="false">(C87-C85)/(B87-B85)/($C$7)+$C$8</f>
        <v>2.54204542796366</v>
      </c>
    </row>
    <row r="87" customFormat="false" ht="12.5" hidden="false" customHeight="false" outlineLevel="0" collapsed="false">
      <c r="B87" s="2" t="n">
        <v>42612</v>
      </c>
      <c r="C87" s="0" t="n">
        <v>2.923</v>
      </c>
      <c r="D87" s="0" t="n">
        <f aca="false">(C88-C86)/(B88-B86)/($C$7)+$C$8</f>
        <v>2.55902625551279</v>
      </c>
    </row>
    <row r="88" customFormat="false" ht="12.5" hidden="false" customHeight="false" outlineLevel="0" collapsed="false">
      <c r="B88" s="2" t="n">
        <v>42623</v>
      </c>
      <c r="C88" s="0" t="n">
        <v>2.946</v>
      </c>
      <c r="D88" s="0" t="n">
        <f aca="false">(C89-C87)/(B89-B87)/($C$7)+$C$8</f>
        <v>2.54650211056809</v>
      </c>
    </row>
    <row r="89" customFormat="false" ht="12.5" hidden="false" customHeight="false" outlineLevel="0" collapsed="false">
      <c r="B89" s="2" t="n">
        <v>42635</v>
      </c>
      <c r="C89" s="0" t="n">
        <v>2.937</v>
      </c>
      <c r="D89" s="0" t="n">
        <f aca="false">(C90-C88)/(B90-B88)/($C$7)+$C$8</f>
        <v>2.5355487145896</v>
      </c>
    </row>
    <row r="90" customFormat="false" ht="12.5" hidden="false" customHeight="false" outlineLevel="0" collapsed="false">
      <c r="B90" s="2" t="n">
        <v>42643</v>
      </c>
      <c r="C90" s="0" t="n">
        <v>2.943</v>
      </c>
      <c r="D90" s="0" t="n">
        <f aca="false">(C91-C89)/(B91-B89)/($C$7)+$C$8</f>
        <v>2.54227338281889</v>
      </c>
    </row>
    <row r="91" customFormat="false" ht="12.5" hidden="false" customHeight="false" outlineLevel="0" collapsed="false">
      <c r="B91" s="2" t="n">
        <v>42654</v>
      </c>
      <c r="C91" s="0" t="n">
        <v>2.943</v>
      </c>
      <c r="D91" s="0" t="n">
        <f aca="false">(C92-C90)/(B92-B90)/($C$7)+$C$8</f>
        <v>2.53627057163116</v>
      </c>
    </row>
    <row r="92" customFormat="false" ht="12.5" hidden="false" customHeight="false" outlineLevel="0" collapsed="false">
      <c r="B92" s="2" t="n">
        <v>42663</v>
      </c>
      <c r="C92" s="0" t="n">
        <v>2.941</v>
      </c>
      <c r="D92" s="0" t="n">
        <f aca="false">(C93-C91)/(B93-B91)/($C$7)+$C$8</f>
        <v>2.53206496973684</v>
      </c>
    </row>
    <row r="93" customFormat="false" ht="12.5" hidden="false" customHeight="false" outlineLevel="0" collapsed="false">
      <c r="B93" s="2" t="n">
        <v>42677</v>
      </c>
      <c r="C93" s="0" t="n">
        <v>2.934</v>
      </c>
      <c r="D93" s="0" t="n">
        <f aca="false">(C94-C92)/(B94-B92)/($C$7)+$C$8</f>
        <v>2.53645888216374</v>
      </c>
    </row>
    <row r="94" customFormat="false" ht="12.5" hidden="false" customHeight="false" outlineLevel="0" collapsed="false">
      <c r="B94" s="2" t="n">
        <v>42686</v>
      </c>
      <c r="C94" s="0" t="n">
        <v>2.939</v>
      </c>
      <c r="D94" s="0" t="n">
        <f aca="false">(C95-C93)/(B95-B93)/($C$7)+$C$8</f>
        <v>2.55724688801538</v>
      </c>
    </row>
    <row r="95" customFormat="false" ht="12.5" hidden="false" customHeight="false" outlineLevel="0" collapsed="false">
      <c r="B95" s="2" t="n">
        <v>42694</v>
      </c>
      <c r="C95" s="0" t="n">
        <v>2.957</v>
      </c>
      <c r="D95" s="0" t="n">
        <f aca="false">(C96-C94)/(B96-B94)/($C$7)+$C$8</f>
        <v>2.5350893510177</v>
      </c>
    </row>
    <row r="96" customFormat="false" ht="12.5" hidden="false" customHeight="false" outlineLevel="0" collapsed="false">
      <c r="B96" s="2" t="n">
        <v>42708</v>
      </c>
      <c r="C96" s="0" t="n">
        <v>2.935</v>
      </c>
      <c r="D96" s="0" t="n">
        <f aca="false">(C97-C95)/(B97-B95)/($C$7)+$C$8</f>
        <v>2.53236719651753</v>
      </c>
    </row>
    <row r="97" customFormat="false" ht="12.5" hidden="false" customHeight="false" outlineLevel="0" collapsed="false">
      <c r="B97" s="5" t="n">
        <v>42721</v>
      </c>
      <c r="C97" s="0" t="n">
        <v>2.947</v>
      </c>
      <c r="D97" s="0" t="n">
        <f aca="false">(C98-C96)/(B98-B96)/($C$7)+$C$8</f>
        <v>2.54794059380308</v>
      </c>
    </row>
    <row r="98" customFormat="false" ht="12.5" hidden="false" customHeight="false" outlineLevel="0" collapsed="false">
      <c r="B98" s="2" t="n">
        <v>42732</v>
      </c>
      <c r="C98" s="0" t="n">
        <v>2.952</v>
      </c>
      <c r="D98" s="0" t="n">
        <f aca="false">(C99-C97)/(B99-B97)/($C$7)+$C$8</f>
        <v>2.54544846830245</v>
      </c>
    </row>
    <row r="99" customFormat="false" ht="12.5" hidden="false" customHeight="false" outlineLevel="0" collapsed="false">
      <c r="B99" s="5" t="n">
        <v>42749</v>
      </c>
      <c r="C99" s="0" t="n">
        <v>2.962</v>
      </c>
      <c r="D99" s="0" t="n">
        <f aca="false">(C100-C98)/(B100-B98)/($C$7)+$C$8</f>
        <v>2.54792592191199</v>
      </c>
    </row>
    <row r="100" customFormat="false" ht="12.5" hidden="false" customHeight="false" outlineLevel="0" collapsed="false">
      <c r="B100" s="2" t="n">
        <v>42773</v>
      </c>
      <c r="C100" s="0" t="n">
        <v>2.981</v>
      </c>
      <c r="D100" s="0" t="n">
        <f aca="false">(C101-C99)/(B101-B99)/($C$7)+$C$8</f>
        <v>2.54707891760482</v>
      </c>
    </row>
    <row r="101" customFormat="false" ht="12.5" hidden="false" customHeight="false" outlineLevel="0" collapsed="false">
      <c r="B101" s="2" t="n">
        <v>42786</v>
      </c>
      <c r="C101" s="0" t="n">
        <v>2.986</v>
      </c>
      <c r="D101" s="0" t="n">
        <f aca="false">(C102-C100)/(B102-B100)/($C$7)+$C$8</f>
        <v>2.54433130859527</v>
      </c>
    </row>
    <row r="102" customFormat="false" ht="12.5" hidden="false" customHeight="false" outlineLevel="0" collapsed="false">
      <c r="B102" s="2" t="n">
        <v>42797</v>
      </c>
      <c r="C102" s="0" t="n">
        <v>2.992</v>
      </c>
      <c r="D102" s="0" t="n">
        <f aca="false">(C103-C101)/(B103-B101)/($C$7)+$C$8</f>
        <v>2.54782028429616</v>
      </c>
    </row>
    <row r="103" customFormat="false" ht="12.5" hidden="false" customHeight="false" outlineLevel="0" collapsed="false">
      <c r="B103" s="2" t="n">
        <v>42806</v>
      </c>
      <c r="C103" s="0" t="n">
        <v>3</v>
      </c>
      <c r="D103" s="0" t="n">
        <f aca="false">(C104-C102)/(B104-B102)/($C$7)+$C$8</f>
        <v>2.55543259491627</v>
      </c>
    </row>
    <row r="104" customFormat="false" ht="12.5" hidden="false" customHeight="false" outlineLevel="0" collapsed="false">
      <c r="B104" s="2" t="n">
        <v>42819</v>
      </c>
      <c r="C104" s="0" t="n">
        <v>3.019</v>
      </c>
      <c r="D104" s="0" t="n">
        <f aca="false">(C105-C103)/(B105-B103)/($C$7)+$C$8</f>
        <v>2.55272891217878</v>
      </c>
    </row>
    <row r="105" customFormat="false" ht="12.5" hidden="false" customHeight="false" outlineLevel="0" collapsed="false">
      <c r="B105" s="2" t="n">
        <v>42831</v>
      </c>
      <c r="C105" s="0" t="n">
        <v>3.026</v>
      </c>
      <c r="D105" s="0" t="n">
        <f aca="false">(C106-C104)/(B106-B104)/($C$7)+$C$8</f>
        <v>2.55979461875031</v>
      </c>
    </row>
    <row r="106" customFormat="false" ht="12.5" hidden="false" customHeight="false" outlineLevel="0" collapsed="false">
      <c r="B106" s="2" t="n">
        <v>42836</v>
      </c>
      <c r="C106" s="0" t="n">
        <v>3.045</v>
      </c>
      <c r="D106" s="0" t="n">
        <f aca="false">(C107-C105)/(B107-B105)/($C$7)+$C$8</f>
        <v>2.53152693964375</v>
      </c>
    </row>
    <row r="107" customFormat="false" ht="12.5" hidden="false" customHeight="false" outlineLevel="0" collapsed="false">
      <c r="B107" s="2" t="n">
        <v>42845</v>
      </c>
      <c r="C107" s="0" t="n">
        <v>3.02</v>
      </c>
      <c r="D107" s="0" t="n">
        <f aca="false">(C108-C106)/(B108-B106)/($C$7)+$C$8</f>
        <v>2.51966785967523</v>
      </c>
    </row>
    <row r="108" customFormat="false" ht="12.5" hidden="false" customHeight="false" outlineLevel="0" collapsed="false">
      <c r="B108" s="2" t="n">
        <v>42856</v>
      </c>
      <c r="C108" s="0" t="n">
        <v>3.02</v>
      </c>
      <c r="D108" s="0" t="n">
        <f aca="false">(C109-C107)/(B109-B107)/($C$7)+$C$8</f>
        <v>2.55936999696115</v>
      </c>
    </row>
    <row r="109" customFormat="false" ht="12.5" hidden="false" customHeight="false" outlineLevel="0" collapsed="false">
      <c r="B109" s="2" t="n">
        <v>42865</v>
      </c>
      <c r="C109" s="0" t="n">
        <v>3.05</v>
      </c>
      <c r="D109" s="0" t="n">
        <f aca="false">(C110-C108)/(B110-B108)/($C$7)+$C$8</f>
        <v>2.558230222685</v>
      </c>
    </row>
    <row r="110" customFormat="false" ht="12.5" hidden="false" customHeight="false" outlineLevel="0" collapsed="false">
      <c r="B110" s="2" t="n">
        <v>42875</v>
      </c>
      <c r="C110" s="0" t="n">
        <v>3.047</v>
      </c>
      <c r="D110" s="0" t="n">
        <f aca="false">(C111-C109)/(B111-B109)/($C$7)+$C$8</f>
        <v>2.54461900524227</v>
      </c>
    </row>
    <row r="111" customFormat="false" ht="12.5" hidden="false" customHeight="false" outlineLevel="0" collapsed="false">
      <c r="B111" s="2" t="n">
        <v>42888</v>
      </c>
      <c r="C111" s="0" t="n">
        <v>3.061</v>
      </c>
      <c r="D111" s="0" t="n">
        <f aca="false">(C112-C110)/(B112-B110)/($C$7)+$C$8</f>
        <v>2.55627632392588</v>
      </c>
    </row>
    <row r="112" customFormat="false" ht="12.5" hidden="false" customHeight="false" outlineLevel="0" collapsed="false">
      <c r="B112" s="2" t="n">
        <v>42896</v>
      </c>
      <c r="C112" s="0" t="n">
        <v>3.074</v>
      </c>
      <c r="D112" s="0" t="n">
        <f aca="false">(C113-C111)/(B113-B111)/($C$7)+$C$8</f>
        <v>2.54573491950942</v>
      </c>
    </row>
    <row r="113" customFormat="false" ht="12.5" hidden="false" customHeight="false" outlineLevel="0" collapsed="false">
      <c r="B113" s="2" t="n">
        <v>42906</v>
      </c>
      <c r="C113" s="0" t="n">
        <v>3.071</v>
      </c>
      <c r="D113" s="0" t="n">
        <f aca="false">(C114-C112)/(B114-B112)/($C$7)+$C$8</f>
        <v>2.52258966198632</v>
      </c>
    </row>
    <row r="114" customFormat="false" ht="12.5" hidden="false" customHeight="false" outlineLevel="0" collapsed="false">
      <c r="B114" s="2" t="n">
        <v>42917</v>
      </c>
      <c r="C114" s="0" t="n">
        <v>3.052</v>
      </c>
      <c r="D114" s="0" t="n">
        <f aca="false">(C115-C113)/(B115-B113)/($C$7)+$C$8</f>
        <v>2.54421099908835</v>
      </c>
    </row>
    <row r="115" customFormat="false" ht="12.5" hidden="false" customHeight="false" outlineLevel="0" collapsed="false">
      <c r="B115" s="2" t="n">
        <v>42926</v>
      </c>
      <c r="C115" s="0" t="n">
        <v>3.08</v>
      </c>
      <c r="D115" s="0" t="n">
        <f aca="false">(C116-C114)/(B116-B114)/($C$7)+$C$8</f>
        <v>2.558230222685</v>
      </c>
    </row>
    <row r="116" customFormat="false" ht="12.5" hidden="false" customHeight="false" outlineLevel="0" collapsed="false">
      <c r="B116" s="2" t="n">
        <v>42936</v>
      </c>
      <c r="C116" s="0" t="n">
        <v>3.079</v>
      </c>
      <c r="D116" s="0" t="n">
        <f aca="false">(C117-C115)/(B117-B115)/($C$7)+$C$8</f>
        <v>2.5337768836694</v>
      </c>
    </row>
    <row r="117" customFormat="false" ht="12.5" hidden="false" customHeight="false" outlineLevel="0" collapsed="false">
      <c r="B117" s="2" t="n">
        <v>42948</v>
      </c>
      <c r="C117" s="0" t="n">
        <v>3.074</v>
      </c>
      <c r="D117" s="0" t="n">
        <f aca="false">(C118-C116)/(B118-B116)/($C$7)+$C$8</f>
        <v>2.54390163178482</v>
      </c>
    </row>
    <row r="118" customFormat="false" ht="12.5" hidden="false" customHeight="false" outlineLevel="0" collapsed="false">
      <c r="B118" s="2" t="n">
        <v>42964</v>
      </c>
      <c r="C118" s="0" t="n">
        <v>3.091</v>
      </c>
      <c r="D118" s="0" t="n">
        <f aca="false">(C119-C117)/(B119-B117)/($C$7)+$C$8</f>
        <v>2.54854214133772</v>
      </c>
    </row>
    <row r="119" customFormat="false" ht="12.5" hidden="false" customHeight="false" outlineLevel="0" collapsed="false">
      <c r="B119" s="2" t="n">
        <v>42968</v>
      </c>
      <c r="C119" s="0" t="n">
        <v>3.089</v>
      </c>
      <c r="D119" s="0" t="n">
        <f aca="false">(C120-C118)/(B120-B118)/($C$7)+$C$8</f>
        <v>2.52712704910471</v>
      </c>
    </row>
    <row r="120" customFormat="false" ht="12.5" hidden="false" customHeight="false" outlineLevel="0" collapsed="false">
      <c r="B120" s="2" t="n">
        <v>42979</v>
      </c>
      <c r="C120" s="0" t="n">
        <v>3.08</v>
      </c>
      <c r="D120" s="0" t="n">
        <f aca="false">(C121-C119)/(B121-B119)/($C$7)+$C$8</f>
        <v>2.53049571529866</v>
      </c>
    </row>
    <row r="121" customFormat="false" ht="12.5" hidden="false" customHeight="false" outlineLevel="0" collapsed="false">
      <c r="B121" s="2" t="n">
        <v>42988</v>
      </c>
      <c r="C121" s="0" t="n">
        <v>3.079</v>
      </c>
      <c r="D121" s="0" t="n">
        <f aca="false">(C122-C120)/(B122-B120)/($C$7)+$C$8</f>
        <v>2.53999383426659</v>
      </c>
    </row>
    <row r="122" customFormat="false" ht="12.5" hidden="false" customHeight="false" outlineLevel="0" collapsed="false">
      <c r="B122" s="2" t="n">
        <v>42998</v>
      </c>
      <c r="C122" s="0" t="n">
        <v>3.083</v>
      </c>
      <c r="D122" s="0" t="n">
        <f aca="false">(C123-C121)/(B123-B121)/($C$7)+$C$8</f>
        <v>2.54115170019792</v>
      </c>
    </row>
    <row r="123" customFormat="false" ht="12.5" hidden="false" customHeight="false" outlineLevel="0" collapsed="false">
      <c r="B123" s="2" t="n">
        <v>43009</v>
      </c>
      <c r="C123" s="0" t="n">
        <v>3.084</v>
      </c>
      <c r="D123" s="0" t="n">
        <f aca="false">(C124-C122)/(B124-B122)/($C$7)+$C$8</f>
        <v>2.54348914204678</v>
      </c>
    </row>
    <row r="124" customFormat="false" ht="12.5" hidden="false" customHeight="false" outlineLevel="0" collapsed="false">
      <c r="B124" s="2" t="n">
        <v>43018</v>
      </c>
      <c r="C124" s="0" t="n">
        <v>3.091</v>
      </c>
      <c r="D124" s="0" t="n">
        <f aca="false">(C125-C123)/(B125-B123)/($C$7)+$C$8</f>
        <v>2.54227338281889</v>
      </c>
    </row>
    <row r="125" customFormat="false" ht="12.5" hidden="false" customHeight="false" outlineLevel="0" collapsed="false">
      <c r="B125" s="2" t="n">
        <v>43028</v>
      </c>
      <c r="C125" s="0" t="n">
        <v>3.09</v>
      </c>
      <c r="D125" s="0" t="n">
        <f aca="false">(C126-C124)/(B126-B124)/($C$7)+$C$8</f>
        <v>2.52721454692793</v>
      </c>
    </row>
    <row r="126" customFormat="false" ht="12.5" hidden="false" customHeight="false" outlineLevel="0" collapsed="false">
      <c r="B126" s="2" t="n">
        <v>43040</v>
      </c>
      <c r="C126" s="0" t="n">
        <v>3.075</v>
      </c>
      <c r="D126" s="0" t="n">
        <f aca="false">(C127-C125)/(B127-B125)/($C$7)+$C$8</f>
        <v>2.53565183702411</v>
      </c>
    </row>
    <row r="127" customFormat="false" ht="12.5" hidden="false" customHeight="false" outlineLevel="0" collapsed="false">
      <c r="B127" s="2" t="n">
        <v>43049</v>
      </c>
      <c r="C127" s="0" t="n">
        <v>3.087</v>
      </c>
      <c r="D127" s="0" t="n">
        <f aca="false">(C128-C126)/(B128-B126)/($C$7)+$C$8</f>
        <v>2.54080795874955</v>
      </c>
    </row>
    <row r="128" customFormat="false" ht="12.5" hidden="false" customHeight="false" outlineLevel="0" collapsed="false">
      <c r="B128" s="2" t="n">
        <v>43054</v>
      </c>
      <c r="C128" s="0" t="n">
        <v>3.078</v>
      </c>
      <c r="D128" s="0" t="n">
        <f aca="false">(C129-C127)/(B129-B127)/($C$7)+$C$8</f>
        <v>2.53152693964375</v>
      </c>
    </row>
    <row r="129" customFormat="false" ht="12.5" hidden="false" customHeight="false" outlineLevel="0" collapsed="false">
      <c r="B129" s="2" t="n">
        <v>43070</v>
      </c>
      <c r="C129" s="0" t="n">
        <v>3.078</v>
      </c>
      <c r="D129" s="0" t="n">
        <f aca="false">(C130-C128)/(B130-B128)/($C$7)+$C$8</f>
        <v>2.53540434318129</v>
      </c>
    </row>
    <row r="130" customFormat="false" ht="12.5" hidden="false" customHeight="false" outlineLevel="0" collapsed="false">
      <c r="B130" s="2" t="n">
        <v>43079</v>
      </c>
      <c r="C130" s="0" t="n">
        <v>3.074</v>
      </c>
      <c r="D130" s="0" t="n">
        <f aca="false">(C131-C129)/(B131-B129)/($C$7)+$C$8</f>
        <v>2.54423428479936</v>
      </c>
    </row>
    <row r="131" customFormat="false" ht="12.5" hidden="false" customHeight="false" outlineLevel="0" collapsed="false">
      <c r="B131" s="2" t="n">
        <v>43101</v>
      </c>
      <c r="C131" s="0" t="n">
        <v>3.092</v>
      </c>
      <c r="D131" s="0" t="n">
        <f aca="false">(C132-C130)/(B132-B130)/($C$7)+$C$8</f>
        <v>2.54190571369755</v>
      </c>
    </row>
    <row r="132" customFormat="false" ht="12.5" hidden="false" customHeight="false" outlineLevel="0" collapsed="false">
      <c r="B132" s="2" t="n">
        <v>43110</v>
      </c>
      <c r="C132" s="0" t="n">
        <v>3.083</v>
      </c>
      <c r="D132" s="0" t="n">
        <f aca="false">(C133-C131)/(B133-B131)/($C$7)+$C$8</f>
        <v>2.52935594102251</v>
      </c>
    </row>
    <row r="133" customFormat="false" ht="12.5" hidden="false" customHeight="false" outlineLevel="0" collapsed="false">
      <c r="B133" s="2" t="n">
        <v>43120</v>
      </c>
      <c r="C133" s="0" t="n">
        <v>3.081</v>
      </c>
      <c r="D133" s="0" t="n">
        <f aca="false">(C134-C132)/(B134-B132)/($C$7)+$C$8</f>
        <v>2.54558908980406</v>
      </c>
    </row>
    <row r="134" customFormat="false" ht="12.5" hidden="false" customHeight="false" outlineLevel="0" collapsed="false">
      <c r="B134" s="2" t="n">
        <v>43132</v>
      </c>
      <c r="C134" s="0" t="n">
        <v>3.095</v>
      </c>
      <c r="D134" s="0" t="n">
        <f aca="false">(C135-C133)/(B135-B133)/($C$7)+$C$8</f>
        <v>2.53771428571429</v>
      </c>
    </row>
    <row r="135" customFormat="false" ht="12.5" hidden="false" customHeight="false" outlineLevel="0" collapsed="false">
      <c r="B135" s="2" t="n">
        <v>43141</v>
      </c>
      <c r="C135" s="0" t="n">
        <v>3.081</v>
      </c>
      <c r="D135" s="0" t="n">
        <f aca="false">(C136-C134)/(B136-B134)/($C$7)+$C$8</f>
        <v>2.53011579053995</v>
      </c>
    </row>
    <row r="136" customFormat="false" ht="12.5" hidden="false" customHeight="false" outlineLevel="0" collapsed="false">
      <c r="B136" s="2" t="n">
        <v>43151</v>
      </c>
      <c r="C136" s="0" t="n">
        <v>3.085</v>
      </c>
      <c r="D136" s="0" t="n">
        <f aca="false">(C137-C135)/(B137-B135)/($C$7)+$C$8</f>
        <v>2.54075368378402</v>
      </c>
    </row>
    <row r="137" customFormat="false" ht="12.5" hidden="false" customHeight="false" outlineLevel="0" collapsed="false">
      <c r="B137" s="2" t="n">
        <v>43160</v>
      </c>
      <c r="C137" s="0" t="n">
        <v>3.085</v>
      </c>
      <c r="D137" s="0" t="n">
        <f aca="false">(C138-C136)/(B138-B136)/($C$7)+$C$8</f>
        <v>2.56097412372018</v>
      </c>
    </row>
    <row r="138" customFormat="false" ht="12.5" hidden="false" customHeight="false" outlineLevel="0" collapsed="false">
      <c r="B138" s="2" t="n">
        <v>43169</v>
      </c>
      <c r="C138" s="0" t="n">
        <v>3.114</v>
      </c>
      <c r="D138" s="0" t="n">
        <f aca="false">(C139-C137)/(B139-B137)/($C$7)+$C$8</f>
        <v>2.53619458667942</v>
      </c>
    </row>
    <row r="139" customFormat="false" ht="12.5" hidden="false" customHeight="false" outlineLevel="0" collapsed="false">
      <c r="B139" s="2" t="n">
        <v>43179</v>
      </c>
      <c r="C139" s="0" t="n">
        <v>3.083</v>
      </c>
      <c r="D139" s="0" t="n">
        <f aca="false">(C140-C138)/(B140-B138)/($C$7)+$C$8</f>
        <v>2.54558908980406</v>
      </c>
    </row>
    <row r="140" customFormat="false" ht="12.5" hidden="false" customHeight="false" outlineLevel="0" collapsed="false">
      <c r="B140" s="2" t="n">
        <v>43191</v>
      </c>
      <c r="C140" s="0" t="n">
        <v>3.126</v>
      </c>
      <c r="D140" s="0" t="n">
        <f aca="false">(C141-C139)/(B141-B139)/($C$7)+$C$8</f>
        <v>2.58308815689819</v>
      </c>
    </row>
    <row r="141" customFormat="false" ht="12.5" hidden="false" customHeight="false" outlineLevel="0" collapsed="false">
      <c r="B141" s="2" t="n">
        <v>43200</v>
      </c>
      <c r="C141" s="0" t="n">
        <v>3.149</v>
      </c>
      <c r="D141" s="0" t="n">
        <f aca="false">(C142-C140)/(B142-B140)/($C$7)+$C$8</f>
        <v>2.58254540724289</v>
      </c>
    </row>
    <row r="142" customFormat="false" ht="12.5" hidden="false" customHeight="false" outlineLevel="0" collapsed="false">
      <c r="B142" s="2" t="n">
        <v>43210</v>
      </c>
      <c r="C142" s="0" t="n">
        <v>3.185</v>
      </c>
      <c r="D142" s="0" t="n">
        <f aca="false">(C143-C141)/(B143-B141)/($C$7)+$C$8</f>
        <v>2.52602707646995</v>
      </c>
    </row>
    <row r="143" customFormat="false" ht="12.5" hidden="false" customHeight="false" outlineLevel="0" collapsed="false">
      <c r="B143" s="2" t="n">
        <v>43221</v>
      </c>
      <c r="C143" s="0" t="n">
        <v>3.132</v>
      </c>
      <c r="D143" s="0" t="n">
        <f aca="false">(C144-C142)/(B144-B142)/($C$7)+$C$8</f>
        <v>2.53338314346491</v>
      </c>
    </row>
    <row r="144" customFormat="false" ht="12.5" hidden="false" customHeight="false" outlineLevel="0" collapsed="false">
      <c r="B144" s="2" t="n">
        <v>43230</v>
      </c>
      <c r="C144" s="0" t="n">
        <v>3.179</v>
      </c>
      <c r="D144" s="0" t="n">
        <f aca="false">(C145-C143)/(B145-B143)/($C$7)+$C$8</f>
        <v>2.57114766448138</v>
      </c>
    </row>
    <row r="145" customFormat="false" ht="12.5" hidden="false" customHeight="false" outlineLevel="0" collapsed="false">
      <c r="B145" s="2" t="n">
        <v>43240</v>
      </c>
      <c r="C145" s="0" t="n">
        <v>3.176</v>
      </c>
      <c r="D145" s="0" t="n">
        <f aca="false">(C146-C144)/(B146-B144)/($C$7)+$C$8</f>
        <v>2.54296415510747</v>
      </c>
    </row>
    <row r="146" customFormat="false" ht="12.5" hidden="false" customHeight="false" outlineLevel="0" collapsed="false">
      <c r="B146" s="2" t="n">
        <v>43252</v>
      </c>
      <c r="C146" s="0" t="n">
        <v>3.187</v>
      </c>
      <c r="D146" s="0" t="n">
        <f aca="false">(C147-C145)/(B147-B145)/($C$7)+$C$8</f>
        <v>2.54458911468154</v>
      </c>
    </row>
    <row r="147" customFormat="false" ht="12.5" hidden="false" customHeight="false" outlineLevel="0" collapsed="false">
      <c r="B147" s="2" t="n">
        <v>43261</v>
      </c>
      <c r="C147" s="0" t="n">
        <v>3.186</v>
      </c>
      <c r="D147" s="0" t="n">
        <f aca="false">(C148-C146)/(B148-B146)/($C$7)+$C$8</f>
        <v>2.53999383426659</v>
      </c>
    </row>
    <row r="148" customFormat="false" ht="12.5" hidden="false" customHeight="false" outlineLevel="0" collapsed="false">
      <c r="B148" s="2" t="n">
        <v>43271</v>
      </c>
      <c r="C148" s="0" t="n">
        <v>3.19</v>
      </c>
      <c r="D148" s="0" t="n">
        <f aca="false">(C149-C147)/(B149-B147)/($C$7)+$C$8</f>
        <v>2.54940149495863</v>
      </c>
    </row>
    <row r="149" customFormat="false" ht="12.5" hidden="false" customHeight="false" outlineLevel="0" collapsed="false">
      <c r="B149" s="2" t="n">
        <v>43282</v>
      </c>
      <c r="C149" s="0" t="n">
        <v>3.203</v>
      </c>
      <c r="D149" s="0" t="n">
        <f aca="false">(C150-C148)/(B150-B148)/($C$7)+$C$8</f>
        <v>2.53338314346491</v>
      </c>
    </row>
    <row r="150" customFormat="false" ht="12.5" hidden="false" customHeight="false" outlineLevel="0" collapsed="false">
      <c r="B150" s="2" t="n">
        <v>43291</v>
      </c>
      <c r="C150" s="0" t="n">
        <v>3.184</v>
      </c>
      <c r="D150" s="0" t="n">
        <f aca="false">(C151-C149)/(B151-B149)/($C$7)+$C$8</f>
        <v>2.52707639247021</v>
      </c>
    </row>
    <row r="151" customFormat="false" ht="12.5" hidden="false" customHeight="false" outlineLevel="0" collapsed="false">
      <c r="B151" s="2" t="n">
        <v>43301</v>
      </c>
      <c r="C151" s="0" t="n">
        <v>3.189</v>
      </c>
      <c r="D151" s="0" t="n">
        <f aca="false">(C152-C150)/(B152-B150)/($C$7)+$C$8</f>
        <v>2.5462453234782</v>
      </c>
    </row>
    <row r="152" customFormat="false" ht="12.5" hidden="false" customHeight="false" outlineLevel="0" collapsed="false">
      <c r="B152" s="2" t="n">
        <v>43313</v>
      </c>
      <c r="C152" s="0" t="n">
        <v>3.197</v>
      </c>
      <c r="D152" s="0" t="n">
        <f aca="false">(C153-C151)/(B153-B151)/($C$7)+$C$8</f>
        <v>2.53221442254048</v>
      </c>
    </row>
    <row r="153" customFormat="false" ht="12.5" hidden="false" customHeight="false" outlineLevel="0" collapsed="false">
      <c r="B153" s="2" t="n">
        <v>43322</v>
      </c>
      <c r="C153" s="0" t="n">
        <v>3.181</v>
      </c>
      <c r="D153" s="0" t="n">
        <f aca="false">(C154-C152)/(B154-B152)/($C$7)+$C$8</f>
        <v>2.53847413523172</v>
      </c>
    </row>
    <row r="154" customFormat="false" ht="12.5" hidden="false" customHeight="false" outlineLevel="0" collapsed="false">
      <c r="B154" s="2" t="n">
        <v>43332</v>
      </c>
      <c r="C154" s="0" t="n">
        <v>3.198</v>
      </c>
    </row>
    <row r="155" customFormat="false" ht="12.5" hidden="false" customHeight="false" outlineLevel="0" collapsed="false">
      <c r="B155" s="2" t="n">
        <v>43344</v>
      </c>
      <c r="C155" s="0" t="n">
        <v>3.198</v>
      </c>
    </row>
    <row r="156" customFormat="false" ht="12.5" hidden="false" customHeight="false" outlineLevel="0" collapsed="false">
      <c r="B156" s="2" t="n">
        <v>43353</v>
      </c>
      <c r="C156" s="0" t="n">
        <v>3.202</v>
      </c>
    </row>
    <row r="157" customFormat="false" ht="12.5" hidden="false" customHeight="false" outlineLevel="0" collapsed="false">
      <c r="B157" s="2" t="n">
        <v>43363</v>
      </c>
      <c r="C157" s="0" t="n">
        <v>3.197</v>
      </c>
    </row>
    <row r="158" customFormat="false" ht="12.5" hidden="false" customHeight="false" outlineLevel="0" collapsed="false">
      <c r="B158" s="2" t="n">
        <v>43374</v>
      </c>
      <c r="C158" s="0" t="n">
        <v>3.197</v>
      </c>
    </row>
    <row r="159" customFormat="false" ht="12.5" hidden="false" customHeight="false" outlineLevel="0" collapsed="false">
      <c r="B159" s="2" t="n">
        <v>43383</v>
      </c>
      <c r="C159" s="0" t="n">
        <v>3.219</v>
      </c>
    </row>
    <row r="160" customFormat="false" ht="12.5" hidden="false" customHeight="false" outlineLevel="0" collapsed="false">
      <c r="B160" s="2" t="n">
        <v>43393</v>
      </c>
      <c r="C160" s="0" t="n">
        <v>3.199</v>
      </c>
    </row>
    <row r="161" customFormat="false" ht="12.5" hidden="false" customHeight="false" outlineLevel="0" collapsed="false">
      <c r="B161" s="2" t="n">
        <v>43414</v>
      </c>
      <c r="C161" s="0" t="n">
        <v>3.198</v>
      </c>
    </row>
    <row r="162" customFormat="false" ht="12.5" hidden="false" customHeight="false" outlineLevel="0" collapsed="false">
      <c r="B162" s="2" t="n">
        <v>43436</v>
      </c>
      <c r="C162" s="0" t="n">
        <v>3.21</v>
      </c>
    </row>
    <row r="163" customFormat="false" ht="12.5" hidden="false" customHeight="false" outlineLevel="0" collapsed="false">
      <c r="B163" s="2" t="n">
        <v>43448</v>
      </c>
      <c r="C163" s="0" t="n">
        <v>3.177</v>
      </c>
    </row>
    <row r="164" customFormat="false" ht="12.5" hidden="false" customHeight="false" outlineLevel="0" collapsed="false">
      <c r="B164" s="2" t="n">
        <v>43460</v>
      </c>
      <c r="C164" s="0" t="n">
        <v>3.199</v>
      </c>
    </row>
    <row r="165" customFormat="false" ht="12.5" hidden="false" customHeight="false" outlineLevel="0" collapsed="false">
      <c r="B165" s="2" t="n">
        <v>43477</v>
      </c>
      <c r="C165" s="0" t="n">
        <v>3.203</v>
      </c>
    </row>
    <row r="166" customFormat="false" ht="12.5" hidden="false" customHeight="false" outlineLevel="0" collapsed="false">
      <c r="B166" s="2" t="n">
        <v>43499</v>
      </c>
      <c r="C166" s="0" t="n">
        <v>3.2</v>
      </c>
    </row>
    <row r="167" customFormat="false" ht="12.5" hidden="false" customHeight="false" outlineLevel="0" collapsed="false">
      <c r="B167" s="2" t="n">
        <v>43512</v>
      </c>
      <c r="C167" s="0" t="n">
        <v>3.211</v>
      </c>
    </row>
    <row r="168" customFormat="false" ht="12.5" hidden="false" customHeight="false" outlineLevel="0" collapsed="false">
      <c r="B168" s="2" t="n">
        <v>43520</v>
      </c>
      <c r="C168" s="0" t="n">
        <v>3.232</v>
      </c>
    </row>
    <row r="169" customFormat="false" ht="12.5" hidden="false" customHeight="false" outlineLevel="0" collapsed="false">
      <c r="B169" s="2" t="n">
        <v>43533</v>
      </c>
      <c r="C169" s="0" t="n">
        <v>3.231</v>
      </c>
    </row>
    <row r="170" customFormat="false" ht="12.5" hidden="false" customHeight="false" outlineLevel="0" collapsed="false">
      <c r="B170" s="2" t="n">
        <v>43562</v>
      </c>
      <c r="C170" s="0" t="n">
        <v>3.242</v>
      </c>
    </row>
    <row r="171" customFormat="false" ht="12.5" hidden="false" customHeight="false" outlineLevel="0" collapsed="false">
      <c r="B171" s="2" t="n">
        <v>43596</v>
      </c>
      <c r="C171" s="0" t="n">
        <v>3.241</v>
      </c>
    </row>
    <row r="172" customFormat="false" ht="12.5" hidden="false" customHeight="false" outlineLevel="0" collapsed="false">
      <c r="B172" s="2" t="n">
        <v>43618</v>
      </c>
      <c r="C172" s="0" t="n">
        <v>3.265</v>
      </c>
    </row>
    <row r="173" customFormat="false" ht="12.5" hidden="false" customHeight="false" outlineLevel="0" collapsed="false">
      <c r="B173" s="2" t="n">
        <v>43632</v>
      </c>
      <c r="C173" s="0" t="n">
        <v>3.257</v>
      </c>
    </row>
    <row r="174" customFormat="false" ht="12.5" hidden="false" customHeight="false" outlineLevel="0" collapsed="false">
      <c r="B174" s="2" t="n">
        <v>43646</v>
      </c>
      <c r="C174" s="0" t="n">
        <v>3.293</v>
      </c>
    </row>
    <row r="175" customFormat="false" ht="12.5" hidden="false" customHeight="false" outlineLevel="0" collapsed="false">
      <c r="B175" s="2" t="n">
        <v>43662</v>
      </c>
      <c r="C175" s="0" t="n">
        <v>3.285</v>
      </c>
    </row>
    <row r="176" customFormat="false" ht="12.5" hidden="false" customHeight="false" outlineLevel="0" collapsed="false">
      <c r="B176" s="2" t="n">
        <v>43672</v>
      </c>
      <c r="C176" s="0" t="n">
        <v>3.29</v>
      </c>
    </row>
    <row r="177" customFormat="false" ht="12.5" hidden="false" customHeight="false" outlineLevel="0" collapsed="false">
      <c r="B177" s="2" t="n">
        <v>43702</v>
      </c>
      <c r="C177" s="0" t="n">
        <v>3.317</v>
      </c>
    </row>
    <row r="178" customFormat="false" ht="12.5" hidden="false" customHeight="false" outlineLevel="0" collapsed="false">
      <c r="B178" s="2" t="n">
        <v>43715</v>
      </c>
      <c r="C178" s="0" t="n">
        <v>3.264</v>
      </c>
    </row>
    <row r="179" customFormat="false" ht="12.5" hidden="false" customHeight="false" outlineLevel="0" collapsed="false">
      <c r="B179" s="2" t="n">
        <v>43730</v>
      </c>
      <c r="C179" s="0" t="n">
        <v>3.305</v>
      </c>
    </row>
    <row r="180" customFormat="false" ht="12.5" hidden="false" customHeight="false" outlineLevel="0" collapsed="false">
      <c r="B180" s="2" t="n">
        <v>43744</v>
      </c>
      <c r="C180" s="0" t="n">
        <v>3.305</v>
      </c>
    </row>
    <row r="181" customFormat="false" ht="12.5" hidden="false" customHeight="false" outlineLevel="0" collapsed="false">
      <c r="B181" s="2" t="n">
        <v>43759</v>
      </c>
      <c r="C181" s="0" t="n">
        <v>3.3</v>
      </c>
    </row>
    <row r="182" customFormat="false" ht="12.5" hidden="false" customHeight="false" outlineLevel="0" collapsed="false">
      <c r="B182" s="2" t="n">
        <v>43741</v>
      </c>
      <c r="C182" s="0" t="n">
        <v>3.298</v>
      </c>
    </row>
    <row r="183" customFormat="false" ht="12.5" hidden="false" customHeight="false" outlineLevel="0" collapsed="false">
      <c r="B183" s="2" t="n">
        <v>43769</v>
      </c>
      <c r="C183" s="0" t="n">
        <v>3.295</v>
      </c>
    </row>
    <row r="184" customFormat="false" ht="12.5" hidden="false" customHeight="false" outlineLevel="0" collapsed="false">
      <c r="B184" s="2" t="n">
        <v>43820</v>
      </c>
      <c r="C184" s="0" t="n">
        <v>3.299</v>
      </c>
    </row>
    <row r="185" customFormat="false" ht="12.5" hidden="false" customHeight="false" outlineLevel="0" collapsed="false">
      <c r="B185" s="2" t="n">
        <v>43834</v>
      </c>
      <c r="C185" s="0" t="n">
        <v>3.292</v>
      </c>
    </row>
    <row r="186" customFormat="false" ht="12.5" hidden="false" customHeight="false" outlineLevel="0" collapsed="false">
      <c r="B186" s="2" t="n">
        <v>43856</v>
      </c>
      <c r="C186" s="0" t="n">
        <v>3.293</v>
      </c>
    </row>
    <row r="187" customFormat="false" ht="12.5" hidden="false" customHeight="false" outlineLevel="0" collapsed="false">
      <c r="B187" s="2" t="n">
        <v>43876</v>
      </c>
      <c r="C187" s="0" t="n">
        <v>3.298</v>
      </c>
    </row>
    <row r="188" customFormat="false" ht="12.5" hidden="false" customHeight="false" outlineLevel="0" collapsed="false">
      <c r="B188" s="2" t="n">
        <v>43890</v>
      </c>
      <c r="C188" s="0" t="n">
        <v>3.302</v>
      </c>
    </row>
    <row r="189" customFormat="false" ht="12.5" hidden="false" customHeight="false" outlineLevel="0" collapsed="false">
      <c r="B189" s="2" t="n">
        <v>43905</v>
      </c>
      <c r="C189" s="0" t="n">
        <v>3.304</v>
      </c>
    </row>
    <row r="190" customFormat="false" ht="12.5" hidden="false" customHeight="false" outlineLevel="0" collapsed="false">
      <c r="B190" s="2" t="n">
        <v>43919</v>
      </c>
      <c r="C190" s="0" t="n">
        <v>3.301</v>
      </c>
    </row>
    <row r="191" customFormat="false" ht="12.5" hidden="false" customHeight="false" outlineLevel="0" collapsed="false">
      <c r="B191" s="2" t="n">
        <v>43935</v>
      </c>
      <c r="C191" s="0" t="n">
        <v>3.305</v>
      </c>
    </row>
    <row r="192" customFormat="false" ht="12.5" hidden="false" customHeight="false" outlineLevel="0" collapsed="false">
      <c r="B192" s="2" t="n">
        <v>43947</v>
      </c>
      <c r="C192" s="0" t="n">
        <v>3.31</v>
      </c>
    </row>
    <row r="193" customFormat="false" ht="12.5" hidden="false" customHeight="false" outlineLevel="0" collapsed="false">
      <c r="B193" s="2" t="n">
        <v>43961</v>
      </c>
      <c r="C193" s="0" t="n">
        <v>3.333</v>
      </c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8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F188" activeCellId="0" sqref="F188"/>
    </sheetView>
  </sheetViews>
  <sheetFormatPr defaultColWidth="10.6875" defaultRowHeight="12.5" zeroHeight="false" outlineLevelRow="0" outlineLevelCol="0"/>
  <cols>
    <col collapsed="false" customWidth="true" hidden="false" outlineLevel="0" max="4" min="4" style="6" width="10.18"/>
  </cols>
  <sheetData>
    <row r="1" customFormat="false" ht="12.5" hidden="false" customHeight="false" outlineLevel="0" collapsed="false">
      <c r="A1" s="2" t="n">
        <v>40502</v>
      </c>
      <c r="B1" s="0" t="n">
        <v>2.38</v>
      </c>
    </row>
    <row r="2" customFormat="false" ht="12.5" hidden="false" customHeight="false" outlineLevel="0" collapsed="false">
      <c r="A2" s="2" t="n">
        <v>40517</v>
      </c>
      <c r="B2" s="0" t="n">
        <v>2.376</v>
      </c>
      <c r="C2" s="0" t="n">
        <f aca="false">(B3-B1)/(A3-A1)</f>
        <v>-0.000410256410256411</v>
      </c>
      <c r="D2" s="6" t="n">
        <f aca="false">C2</f>
        <v>-0.000410256410256411</v>
      </c>
    </row>
    <row r="3" customFormat="false" ht="12.5" hidden="false" customHeight="false" outlineLevel="0" collapsed="false">
      <c r="A3" s="2" t="n">
        <v>40541</v>
      </c>
      <c r="B3" s="0" t="n">
        <v>2.364</v>
      </c>
      <c r="C3" s="0" t="n">
        <f aca="false">(B4-B2)/(A4-A2)</f>
        <v>0.00030939226519337</v>
      </c>
      <c r="D3" s="6" t="n">
        <f aca="false">C3</f>
        <v>0.00030939226519337</v>
      </c>
    </row>
    <row r="4" customFormat="false" ht="12.5" hidden="false" customHeight="false" outlineLevel="0" collapsed="false">
      <c r="A4" s="2" t="n">
        <v>40698</v>
      </c>
      <c r="B4" s="0" t="n">
        <v>2.432</v>
      </c>
      <c r="C4" s="0" t="n">
        <f aca="false">(B5-B3)/(A5-A3)</f>
        <v>0.000357541899441341</v>
      </c>
      <c r="D4" s="6" t="n">
        <f aca="false">C4</f>
        <v>0.000357541899441341</v>
      </c>
    </row>
    <row r="5" customFormat="false" ht="12.5" hidden="false" customHeight="false" outlineLevel="0" collapsed="false">
      <c r="A5" s="2" t="n">
        <v>40720</v>
      </c>
      <c r="B5" s="0" t="n">
        <v>2.428</v>
      </c>
      <c r="C5" s="0" t="n">
        <f aca="false">(B6-B4)/(A6-A4)</f>
        <v>0.00165217391304349</v>
      </c>
      <c r="D5" s="6" t="n">
        <f aca="false">C5</f>
        <v>0.00165217391304349</v>
      </c>
    </row>
    <row r="6" customFormat="false" ht="12.5" hidden="false" customHeight="false" outlineLevel="0" collapsed="false">
      <c r="A6" s="2" t="n">
        <v>40721</v>
      </c>
      <c r="B6" s="0" t="n">
        <v>2.47</v>
      </c>
      <c r="C6" s="0" t="n">
        <f aca="false">(B7-B5)/(A7-A5)</f>
        <v>-0.00019277108433735</v>
      </c>
      <c r="D6" s="6" t="n">
        <f aca="false">C6</f>
        <v>-0.00019277108433735</v>
      </c>
    </row>
    <row r="7" customFormat="false" ht="12.5" hidden="false" customHeight="false" outlineLevel="0" collapsed="false">
      <c r="A7" s="2" t="n">
        <v>40803</v>
      </c>
      <c r="B7" s="0" t="n">
        <v>2.412</v>
      </c>
      <c r="C7" s="0" t="n">
        <f aca="false">(B8-B6)/(A8-A6)</f>
        <v>0.000111111111111111</v>
      </c>
      <c r="D7" s="6" t="n">
        <f aca="false">C7</f>
        <v>0.000111111111111111</v>
      </c>
    </row>
    <row r="8" customFormat="false" ht="12.5" hidden="false" customHeight="false" outlineLevel="0" collapsed="false">
      <c r="A8" s="2" t="n">
        <v>41063</v>
      </c>
      <c r="B8" s="0" t="n">
        <v>2.508</v>
      </c>
      <c r="C8" s="0" t="n">
        <f aca="false">(B9-B7)/(A9-A7)</f>
        <v>0.000239700374531835</v>
      </c>
      <c r="D8" s="6" t="n">
        <f aca="false">C8</f>
        <v>0.000239700374531835</v>
      </c>
    </row>
    <row r="9" customFormat="false" ht="12.5" hidden="false" customHeight="false" outlineLevel="0" collapsed="false">
      <c r="A9" s="2" t="n">
        <v>41070</v>
      </c>
      <c r="B9" s="0" t="n">
        <v>2.476</v>
      </c>
      <c r="C9" s="0" t="n">
        <f aca="false">(B10-B8)/(A10-A8)</f>
        <v>-0.00293333333333334</v>
      </c>
      <c r="D9" s="6" t="n">
        <f aca="false">C9</f>
        <v>-0.00293333333333334</v>
      </c>
    </row>
    <row r="10" customFormat="false" ht="12.5" hidden="false" customHeight="false" outlineLevel="0" collapsed="false">
      <c r="A10" s="2" t="n">
        <v>41078</v>
      </c>
      <c r="B10" s="0" t="n">
        <v>2.464</v>
      </c>
      <c r="C10" s="0" t="n">
        <f aca="false">(B11-B9)/(A11-A9)</f>
        <v>0.000588235294117648</v>
      </c>
      <c r="D10" s="6" t="n">
        <f aca="false">C10</f>
        <v>0.000588235294117648</v>
      </c>
    </row>
    <row r="11" customFormat="false" ht="12.5" hidden="false" customHeight="false" outlineLevel="0" collapsed="false">
      <c r="A11" s="2" t="n">
        <v>41104</v>
      </c>
      <c r="B11" s="0" t="n">
        <v>2.496</v>
      </c>
      <c r="C11" s="0" t="n">
        <f aca="false">(B12-B10)/(A12-A10)</f>
        <v>0.000612244897959189</v>
      </c>
      <c r="D11" s="6" t="n">
        <f aca="false">C11</f>
        <v>0.000612244897959189</v>
      </c>
    </row>
    <row r="12" customFormat="false" ht="12.5" hidden="false" customHeight="false" outlineLevel="0" collapsed="false">
      <c r="A12" s="2" t="n">
        <v>41127</v>
      </c>
      <c r="B12" s="0" t="n">
        <v>2.494</v>
      </c>
      <c r="C12" s="0" t="n">
        <f aca="false">(B13-B11)/(A13-A11)</f>
        <v>0.00149999999999999</v>
      </c>
      <c r="D12" s="6" t="n">
        <f aca="false">C12</f>
        <v>0.00149999999999999</v>
      </c>
    </row>
    <row r="13" customFormat="false" ht="12.5" hidden="false" customHeight="false" outlineLevel="0" collapsed="false">
      <c r="A13" s="2" t="n">
        <v>41132</v>
      </c>
      <c r="B13" s="0" t="n">
        <v>2.538</v>
      </c>
      <c r="C13" s="0" t="n">
        <f aca="false">(B14-B12)/(A14-A12)</f>
        <v>0.00979999999999999</v>
      </c>
      <c r="D13" s="6" t="n">
        <f aca="false">C13</f>
        <v>0.00979999999999999</v>
      </c>
    </row>
    <row r="14" customFormat="false" ht="12.5" hidden="false" customHeight="false" outlineLevel="0" collapsed="false">
      <c r="A14" s="2" t="n">
        <v>41132</v>
      </c>
      <c r="B14" s="0" t="n">
        <v>2.543</v>
      </c>
      <c r="C14" s="0" t="n">
        <f aca="false">(B15-B13)/(A15-A13)</f>
        <v>-0.000124999999999986</v>
      </c>
      <c r="D14" s="6" t="n">
        <f aca="false">C14</f>
        <v>-0.000124999999999986</v>
      </c>
    </row>
    <row r="15" customFormat="false" ht="12.5" hidden="false" customHeight="false" outlineLevel="0" collapsed="false">
      <c r="A15" s="2" t="n">
        <v>41156</v>
      </c>
      <c r="B15" s="0" t="n">
        <v>2.535</v>
      </c>
      <c r="C15" s="0" t="n">
        <f aca="false">(B16-B14)/(A16-A14)</f>
        <v>-0.000452830188679246</v>
      </c>
      <c r="D15" s="6" t="n">
        <f aca="false">C15</f>
        <v>-0.000452830188679246</v>
      </c>
    </row>
    <row r="16" customFormat="false" ht="12.5" hidden="false" customHeight="false" outlineLevel="0" collapsed="false">
      <c r="A16" s="2" t="n">
        <v>41185</v>
      </c>
      <c r="B16" s="0" t="n">
        <v>2.519</v>
      </c>
      <c r="C16" s="0" t="n">
        <f aca="false">(B17-B15)/(A17-A15)</f>
        <v>-0.000490566037735854</v>
      </c>
      <c r="D16" s="6" t="n">
        <f aca="false">C16</f>
        <v>-0.000490566037735854</v>
      </c>
    </row>
    <row r="17" customFormat="false" ht="12.5" hidden="false" customHeight="false" outlineLevel="0" collapsed="false">
      <c r="A17" s="2" t="n">
        <v>41209</v>
      </c>
      <c r="B17" s="0" t="n">
        <v>2.509</v>
      </c>
      <c r="C17" s="0" t="n">
        <f aca="false">(B18-B16)/(A18-A16)</f>
        <v>-0.000129032258064516</v>
      </c>
      <c r="D17" s="6" t="n">
        <f aca="false">C17</f>
        <v>-0.000129032258064516</v>
      </c>
    </row>
    <row r="18" customFormat="false" ht="12.5" hidden="false" customHeight="false" outlineLevel="0" collapsed="false">
      <c r="A18" s="2" t="n">
        <v>41216</v>
      </c>
      <c r="B18" s="0" t="n">
        <v>2.515</v>
      </c>
      <c r="C18" s="0" t="n">
        <f aca="false">(B19-B17)/(A19-A17)</f>
        <v>0.000611111111111118</v>
      </c>
      <c r="D18" s="6" t="n">
        <f aca="false">C18</f>
        <v>0.000611111111111118</v>
      </c>
    </row>
    <row r="19" customFormat="false" ht="12.5" hidden="false" customHeight="false" outlineLevel="0" collapsed="false">
      <c r="A19" s="2" t="n">
        <v>41227</v>
      </c>
      <c r="B19" s="0" t="n">
        <v>2.52</v>
      </c>
      <c r="C19" s="0" t="n">
        <f aca="false">(B20-B18)/(A20-A18)</f>
        <v>-0.000210526315789474</v>
      </c>
      <c r="D19" s="6" t="n">
        <f aca="false">C19</f>
        <v>-0.000210526315789474</v>
      </c>
    </row>
    <row r="20" customFormat="false" ht="12.5" hidden="false" customHeight="false" outlineLevel="0" collapsed="false">
      <c r="A20" s="2" t="n">
        <v>41254</v>
      </c>
      <c r="B20" s="0" t="n">
        <v>2.507</v>
      </c>
      <c r="C20" s="0" t="n">
        <f aca="false">(B21-B19)/(A21-A19)</f>
        <v>-0.000175438596491232</v>
      </c>
      <c r="D20" s="6" t="n">
        <f aca="false">C20</f>
        <v>-0.000175438596491232</v>
      </c>
    </row>
    <row r="21" customFormat="false" ht="12.5" hidden="false" customHeight="false" outlineLevel="0" collapsed="false">
      <c r="A21" s="2" t="n">
        <v>41284</v>
      </c>
      <c r="B21" s="0" t="n">
        <v>2.51</v>
      </c>
      <c r="C21" s="0" t="n">
        <f aca="false">(B22-B20)/(A22-A20)</f>
        <v>0.000346153846153842</v>
      </c>
      <c r="D21" s="6" t="n">
        <f aca="false">C21</f>
        <v>0.000346153846153842</v>
      </c>
    </row>
    <row r="22" customFormat="false" ht="12.5" hidden="false" customHeight="false" outlineLevel="0" collapsed="false">
      <c r="A22" s="2" t="n">
        <v>41306</v>
      </c>
      <c r="B22" s="0" t="n">
        <v>2.525</v>
      </c>
      <c r="C22" s="0" t="n">
        <f aca="false">(B23-B21)/(A23-A21)</f>
        <v>0.000184210526315793</v>
      </c>
      <c r="D22" s="6" t="n">
        <f aca="false">C22</f>
        <v>0.000184210526315793</v>
      </c>
    </row>
    <row r="23" customFormat="false" ht="12.5" hidden="false" customHeight="false" outlineLevel="0" collapsed="false">
      <c r="A23" s="2" t="n">
        <v>41322</v>
      </c>
      <c r="B23" s="0" t="n">
        <v>2.517</v>
      </c>
      <c r="C23" s="0" t="n">
        <f aca="false">(B24-B22)/(A24-A22)</f>
        <v>-9.80392156862724E-005</v>
      </c>
      <c r="D23" s="6" t="n">
        <f aca="false">C23</f>
        <v>-9.80392156862724E-005</v>
      </c>
    </row>
    <row r="24" customFormat="false" ht="12.5" hidden="false" customHeight="false" outlineLevel="0" collapsed="false">
      <c r="A24" s="2" t="n">
        <v>41357</v>
      </c>
      <c r="B24" s="0" t="n">
        <v>2.52</v>
      </c>
      <c r="C24" s="0" t="n">
        <f aca="false">(B25-B23)/(A25-A23)</f>
        <v>0.000393939393939398</v>
      </c>
      <c r="D24" s="6" t="n">
        <f aca="false">C24</f>
        <v>0.000393939393939398</v>
      </c>
    </row>
    <row r="25" customFormat="false" ht="12.5" hidden="false" customHeight="false" outlineLevel="0" collapsed="false">
      <c r="A25" s="2" t="n">
        <v>41388</v>
      </c>
      <c r="B25" s="0" t="n">
        <v>2.543</v>
      </c>
      <c r="C25" s="0" t="n">
        <f aca="false">(B26-B24)/(A26-A24)</f>
        <v>0.000691176470588238</v>
      </c>
      <c r="D25" s="6" t="n">
        <f aca="false">C25</f>
        <v>0.000691176470588238</v>
      </c>
    </row>
    <row r="26" customFormat="false" ht="12.5" hidden="false" customHeight="false" outlineLevel="0" collapsed="false">
      <c r="A26" s="2" t="n">
        <v>41425</v>
      </c>
      <c r="B26" s="0" t="n">
        <v>2.567</v>
      </c>
      <c r="C26" s="0" t="n">
        <f aca="false">(B27-B25)/(A27-A25)</f>
        <v>0.00066037735849056</v>
      </c>
      <c r="D26" s="6" t="n">
        <f aca="false">C26</f>
        <v>0.00066037735849056</v>
      </c>
    </row>
    <row r="27" customFormat="false" ht="12.5" hidden="false" customHeight="false" outlineLevel="0" collapsed="false">
      <c r="A27" s="2" t="n">
        <v>41441</v>
      </c>
      <c r="B27" s="0" t="n">
        <v>2.578</v>
      </c>
      <c r="C27" s="0" t="n">
        <f aca="false">(B28-B26)/(A28-A26)</f>
        <v>0.000266666666666667</v>
      </c>
      <c r="D27" s="6" t="n">
        <f aca="false">C27</f>
        <v>0.000266666666666667</v>
      </c>
    </row>
    <row r="28" customFormat="false" ht="12.5" hidden="false" customHeight="false" outlineLevel="0" collapsed="false">
      <c r="A28" s="2" t="n">
        <v>41455</v>
      </c>
      <c r="B28" s="0" t="n">
        <v>2.575</v>
      </c>
      <c r="C28" s="0" t="n">
        <f aca="false">(B29-B27)/(A29-A27)</f>
        <v>0.000633333333333338</v>
      </c>
      <c r="D28" s="6" t="n">
        <f aca="false">C28</f>
        <v>0.000633333333333338</v>
      </c>
    </row>
    <row r="29" customFormat="false" ht="12.5" hidden="false" customHeight="false" outlineLevel="0" collapsed="false">
      <c r="A29" s="2" t="n">
        <v>41471</v>
      </c>
      <c r="B29" s="0" t="n">
        <v>2.597</v>
      </c>
      <c r="C29" s="0" t="n">
        <f aca="false">(B30-B28)/(A30-A28)</f>
        <v>0.000431372549019604</v>
      </c>
      <c r="D29" s="6" t="n">
        <f aca="false">C29</f>
        <v>0.000431372549019604</v>
      </c>
    </row>
    <row r="30" customFormat="false" ht="12.5" hidden="false" customHeight="false" outlineLevel="0" collapsed="false">
      <c r="A30" s="2" t="n">
        <v>41506</v>
      </c>
      <c r="B30" s="0" t="n">
        <v>2.597</v>
      </c>
      <c r="C30" s="0" t="n">
        <f aca="false">(B31-B29)/(A31-A29)</f>
        <v>0.000294117647058826</v>
      </c>
      <c r="D30" s="6" t="n">
        <f aca="false">C30</f>
        <v>0.000294117647058826</v>
      </c>
    </row>
    <row r="31" customFormat="false" ht="12.5" hidden="false" customHeight="false" outlineLevel="0" collapsed="false">
      <c r="A31" s="2" t="n">
        <v>41522</v>
      </c>
      <c r="B31" s="0" t="n">
        <v>2.612</v>
      </c>
      <c r="C31" s="0" t="n">
        <f aca="false">(B32-B30)/(A32-A30)</f>
        <v>-0.000194444444444448</v>
      </c>
      <c r="D31" s="6" t="n">
        <f aca="false">C31</f>
        <v>-0.000194444444444448</v>
      </c>
    </row>
    <row r="32" customFormat="false" ht="12.5" hidden="false" customHeight="false" outlineLevel="0" collapsed="false">
      <c r="A32" s="2" t="n">
        <v>41542</v>
      </c>
      <c r="B32" s="0" t="n">
        <v>2.59</v>
      </c>
      <c r="C32" s="0" t="n">
        <f aca="false">(B33-B31)/(A33-A31)</f>
        <v>-0.00107317073170732</v>
      </c>
      <c r="D32" s="6" t="n">
        <f aca="false">C32</f>
        <v>-0.00107317073170732</v>
      </c>
    </row>
    <row r="33" customFormat="false" ht="12.5" hidden="false" customHeight="false" outlineLevel="0" collapsed="false">
      <c r="A33" s="2" t="n">
        <v>41563</v>
      </c>
      <c r="B33" s="0" t="n">
        <v>2.568</v>
      </c>
      <c r="C33" s="0" t="n">
        <f aca="false">(B34-B32)/(A34-A32)</f>
        <v>-0.000333333333333328</v>
      </c>
      <c r="D33" s="6" t="n">
        <f aca="false">C33</f>
        <v>-0.000333333333333328</v>
      </c>
    </row>
    <row r="34" customFormat="false" ht="12.5" hidden="false" customHeight="false" outlineLevel="0" collapsed="false">
      <c r="A34" s="2" t="n">
        <v>41584</v>
      </c>
      <c r="B34" s="0" t="n">
        <v>2.576</v>
      </c>
      <c r="C34" s="0" t="n">
        <f aca="false">(B35-B33)/(A35-A33)</f>
        <v>0.000163934426229505</v>
      </c>
      <c r="D34" s="6" t="n">
        <f aca="false">C34</f>
        <v>0.000163934426229505</v>
      </c>
    </row>
    <row r="35" customFormat="false" ht="12.5" hidden="false" customHeight="false" outlineLevel="0" collapsed="false">
      <c r="A35" s="2" t="n">
        <v>41624</v>
      </c>
      <c r="B35" s="0" t="n">
        <v>2.578</v>
      </c>
      <c r="C35" s="0" t="n">
        <f aca="false">(B36-B34)/(A36-A34)</f>
        <v>3.2786885245898E-005</v>
      </c>
      <c r="D35" s="6" t="n">
        <f aca="false">C35</f>
        <v>3.2786885245898E-005</v>
      </c>
    </row>
    <row r="36" customFormat="false" ht="12.5" hidden="false" customHeight="false" outlineLevel="0" collapsed="false">
      <c r="A36" s="2" t="n">
        <v>41645</v>
      </c>
      <c r="B36" s="0" t="n">
        <v>2.578</v>
      </c>
      <c r="C36" s="0" t="n">
        <f aca="false">(B37-B35)/(A37-A35)</f>
        <v>-9.67741935483764E-005</v>
      </c>
      <c r="D36" s="6" t="n">
        <f aca="false">C36</f>
        <v>-9.67741935483764E-005</v>
      </c>
    </row>
    <row r="37" customFormat="false" ht="12.5" hidden="false" customHeight="false" outlineLevel="0" collapsed="false">
      <c r="A37" s="2" t="n">
        <v>41655</v>
      </c>
      <c r="B37" s="0" t="n">
        <v>2.575</v>
      </c>
      <c r="C37" s="0" t="n">
        <f aca="false">(B38-B36)/(A38-A36)</f>
        <v>0</v>
      </c>
      <c r="D37" s="6" t="n">
        <f aca="false">C37</f>
        <v>0</v>
      </c>
    </row>
    <row r="38" customFormat="false" ht="12.5" hidden="false" customHeight="false" outlineLevel="0" collapsed="false">
      <c r="A38" s="2" t="n">
        <v>41674</v>
      </c>
      <c r="B38" s="0" t="n">
        <v>2.578</v>
      </c>
      <c r="C38" s="0" t="n">
        <f aca="false">(B39-B37)/(A39-A37)</f>
        <v>0.000125</v>
      </c>
      <c r="D38" s="6" t="n">
        <f aca="false">C38</f>
        <v>0.000125</v>
      </c>
    </row>
    <row r="39" customFormat="false" ht="12.5" hidden="false" customHeight="false" outlineLevel="0" collapsed="false">
      <c r="A39" s="2" t="n">
        <v>41687</v>
      </c>
      <c r="B39" s="0" t="n">
        <v>2.579</v>
      </c>
      <c r="C39" s="0" t="n">
        <f aca="false">(B40-B38)/(A40-A38)</f>
        <v>0</v>
      </c>
      <c r="D39" s="6" t="n">
        <f aca="false">C39</f>
        <v>0</v>
      </c>
    </row>
    <row r="40" customFormat="false" ht="12.5" hidden="false" customHeight="false" outlineLevel="0" collapsed="false">
      <c r="A40" s="2" t="n">
        <v>41700</v>
      </c>
      <c r="B40" s="0" t="n">
        <v>2.578</v>
      </c>
      <c r="C40" s="0" t="n">
        <f aca="false">(B41-B39)/(A41-A39)</f>
        <v>6.66666666666593E-005</v>
      </c>
      <c r="D40" s="6" t="n">
        <f aca="false">C40</f>
        <v>6.66666666666593E-005</v>
      </c>
    </row>
    <row r="41" customFormat="false" ht="12.5" hidden="false" customHeight="false" outlineLevel="0" collapsed="false">
      <c r="A41" s="2" t="n">
        <v>41717</v>
      </c>
      <c r="B41" s="0" t="n">
        <v>2.581</v>
      </c>
      <c r="C41" s="0" t="n">
        <f aca="false">(B42-B40)/(A42-A40)</f>
        <v>0.000666666666666674</v>
      </c>
      <c r="D41" s="6" t="n">
        <f aca="false">C41</f>
        <v>0.000666666666666674</v>
      </c>
    </row>
    <row r="42" customFormat="false" ht="12.5" hidden="false" customHeight="false" outlineLevel="0" collapsed="false">
      <c r="A42" s="2" t="n">
        <v>41733</v>
      </c>
      <c r="B42" s="0" t="n">
        <v>2.6</v>
      </c>
      <c r="C42" s="0" t="n">
        <f aca="false">(B43-B41)/(A43-A41)</f>
        <v>0.000459459459459457</v>
      </c>
      <c r="D42" s="6" t="n">
        <f aca="false">C42</f>
        <v>0.000459459459459457</v>
      </c>
    </row>
    <row r="43" customFormat="false" ht="12.5" hidden="false" customHeight="false" outlineLevel="0" collapsed="false">
      <c r="A43" s="2" t="n">
        <v>41754</v>
      </c>
      <c r="B43" s="0" t="n">
        <v>2.598</v>
      </c>
      <c r="C43" s="0" t="n">
        <f aca="false">(B44-B42)/(A44-A42)</f>
        <v>-0.000178571428571425</v>
      </c>
      <c r="D43" s="6" t="n">
        <f aca="false">C43</f>
        <v>-0.000178571428571425</v>
      </c>
    </row>
    <row r="44" customFormat="false" ht="12.5" hidden="false" customHeight="false" outlineLevel="0" collapsed="false">
      <c r="A44" s="2" t="n">
        <v>41761</v>
      </c>
      <c r="B44" s="0" t="n">
        <v>2.595</v>
      </c>
      <c r="C44" s="0" t="n">
        <f aca="false">(B45-B43)/(A45-A43)</f>
        <v>0.000954545454545471</v>
      </c>
      <c r="D44" s="6" t="n">
        <f aca="false">C44</f>
        <v>0.000954545454545471</v>
      </c>
    </row>
    <row r="45" customFormat="false" ht="12.5" hidden="false" customHeight="false" outlineLevel="0" collapsed="false">
      <c r="A45" s="2" t="n">
        <v>41776</v>
      </c>
      <c r="B45" s="0" t="n">
        <v>2.619</v>
      </c>
      <c r="C45" s="0" t="n">
        <f aca="false">(B46-B44)/(A46-A44)</f>
        <v>0.000552631578947366</v>
      </c>
      <c r="D45" s="6" t="n">
        <f aca="false">C45</f>
        <v>0.000552631578947366</v>
      </c>
    </row>
    <row r="46" customFormat="false" ht="12.5" hidden="false" customHeight="false" outlineLevel="0" collapsed="false">
      <c r="A46" s="2" t="n">
        <v>41799</v>
      </c>
      <c r="B46" s="0" t="n">
        <v>2.616</v>
      </c>
      <c r="C46" s="0" t="n">
        <f aca="false">(B47-B45)/(A47-A45)</f>
        <v>8.69565217391305E-005</v>
      </c>
      <c r="D46" s="6" t="n">
        <f aca="false">C46</f>
        <v>8.69565217391305E-005</v>
      </c>
    </row>
    <row r="47" customFormat="false" ht="12.5" hidden="false" customHeight="false" outlineLevel="0" collapsed="false">
      <c r="A47" s="2" t="n">
        <v>41822</v>
      </c>
      <c r="B47" s="0" t="n">
        <v>2.623</v>
      </c>
      <c r="C47" s="0" t="n">
        <f aca="false">(B48-B46)/(A48-A46)</f>
        <v>0.00110256410256409</v>
      </c>
      <c r="D47" s="6" t="n">
        <f aca="false">C47</f>
        <v>0.00110256410256409</v>
      </c>
    </row>
    <row r="48" customFormat="false" ht="12.5" hidden="false" customHeight="false" outlineLevel="0" collapsed="false">
      <c r="A48" s="2" t="n">
        <v>41838</v>
      </c>
      <c r="B48" s="0" t="n">
        <v>2.659</v>
      </c>
      <c r="C48" s="0" t="n">
        <f aca="false">(B49-B47)/(A49-A47)</f>
        <v>0.00021874999999999</v>
      </c>
      <c r="D48" s="6" t="n">
        <f aca="false">C48</f>
        <v>0.00021874999999999</v>
      </c>
    </row>
    <row r="49" customFormat="false" ht="12.5" hidden="false" customHeight="false" outlineLevel="0" collapsed="false">
      <c r="A49" s="2" t="n">
        <v>41854</v>
      </c>
      <c r="B49" s="0" t="n">
        <v>2.63</v>
      </c>
      <c r="C49" s="0" t="n">
        <f aca="false">(B50-B48)/(A50-A48)</f>
        <v>-0.000263636363636363</v>
      </c>
      <c r="D49" s="6" t="n">
        <f aca="false">C49</f>
        <v>-0.000263636363636363</v>
      </c>
    </row>
    <row r="50" customFormat="false" ht="12.5" hidden="false" customHeight="false" outlineLevel="0" collapsed="false">
      <c r="A50" s="2" t="n">
        <v>41948</v>
      </c>
      <c r="B50" s="0" t="n">
        <v>2.63</v>
      </c>
      <c r="C50" s="0" t="n">
        <f aca="false">(B51-B49)/(A51-A49)</f>
        <v>-0.000120805369127515</v>
      </c>
      <c r="D50" s="6" t="n">
        <f aca="false">C50</f>
        <v>-0.000120805369127515</v>
      </c>
    </row>
    <row r="51" customFormat="false" ht="12.5" hidden="false" customHeight="false" outlineLevel="0" collapsed="false">
      <c r="A51" s="2" t="n">
        <v>42003</v>
      </c>
      <c r="B51" s="0" t="n">
        <v>2.612</v>
      </c>
      <c r="C51" s="0" t="n">
        <f aca="false">(B52-B50)/(A52-A50)</f>
        <v>-0.000126436781609192</v>
      </c>
      <c r="D51" s="6" t="n">
        <f aca="false">C51</f>
        <v>-0.000126436781609192</v>
      </c>
    </row>
    <row r="52" customFormat="false" ht="12.5" hidden="false" customHeight="false" outlineLevel="0" collapsed="false">
      <c r="A52" s="2" t="n">
        <v>42035</v>
      </c>
      <c r="B52" s="0" t="n">
        <v>2.619</v>
      </c>
      <c r="C52" s="0" t="n">
        <f aca="false">(B53-B51)/(A53-A51)</f>
        <v>0.000426229508196718</v>
      </c>
      <c r="D52" s="6" t="n">
        <f aca="false">C52</f>
        <v>0.000426229508196718</v>
      </c>
    </row>
    <row r="53" customFormat="false" ht="12.5" hidden="false" customHeight="false" outlineLevel="0" collapsed="false">
      <c r="A53" s="2" t="n">
        <v>42064</v>
      </c>
      <c r="B53" s="0" t="n">
        <v>2.638</v>
      </c>
      <c r="C53" s="0" t="n">
        <f aca="false">(B54-B52)/(A54-A52)</f>
        <v>0.000972972972972968</v>
      </c>
      <c r="D53" s="6" t="n">
        <f aca="false">C53</f>
        <v>0.000972972972972968</v>
      </c>
    </row>
    <row r="54" customFormat="false" ht="12.5" hidden="false" customHeight="false" outlineLevel="0" collapsed="false">
      <c r="A54" s="2" t="n">
        <v>42109</v>
      </c>
      <c r="B54" s="0" t="n">
        <v>2.691</v>
      </c>
      <c r="C54" s="0" t="n">
        <f aca="false">(B55-B53)/(A55-A53)</f>
        <v>0.000597560975609755</v>
      </c>
      <c r="D54" s="6" t="n">
        <f aca="false">C54</f>
        <v>0.000597560975609755</v>
      </c>
    </row>
    <row r="55" customFormat="false" ht="12.5" hidden="false" customHeight="false" outlineLevel="0" collapsed="false">
      <c r="A55" s="2" t="n">
        <v>42146</v>
      </c>
      <c r="B55" s="0" t="n">
        <v>2.687</v>
      </c>
      <c r="C55" s="0" t="n">
        <f aca="false">(B56-B54)/(A56-A54)</f>
        <v>0.000196428571428574</v>
      </c>
      <c r="D55" s="6" t="n">
        <f aca="false">C55</f>
        <v>0.000196428571428574</v>
      </c>
    </row>
    <row r="56" customFormat="false" ht="12.5" hidden="false" customHeight="false" outlineLevel="0" collapsed="false">
      <c r="A56" s="2" t="n">
        <v>42165</v>
      </c>
      <c r="B56" s="0" t="n">
        <v>2.702</v>
      </c>
      <c r="C56" s="0" t="n">
        <f aca="false">(B57-B55)/(A57-A55)</f>
        <v>0.00114285714285714</v>
      </c>
      <c r="D56" s="6" t="n">
        <f aca="false">C56</f>
        <v>0.00114285714285714</v>
      </c>
    </row>
    <row r="57" customFormat="false" ht="12.5" hidden="false" customHeight="false" outlineLevel="0" collapsed="false">
      <c r="A57" s="2" t="n">
        <v>42188</v>
      </c>
      <c r="B57" s="0" t="n">
        <v>2.735</v>
      </c>
      <c r="C57" s="0" t="n">
        <f aca="false">(B58-B56)/(A58-A56)</f>
        <v>0.00071153846153846</v>
      </c>
      <c r="D57" s="6" t="n">
        <f aca="false">C57</f>
        <v>0.00071153846153846</v>
      </c>
    </row>
    <row r="58" customFormat="false" ht="12.5" hidden="false" customHeight="false" outlineLevel="0" collapsed="false">
      <c r="A58" s="2" t="n">
        <v>42217</v>
      </c>
      <c r="B58" s="0" t="n">
        <v>2.739</v>
      </c>
      <c r="C58" s="0" t="n">
        <f aca="false">(B59-B57)/(A59-A57)</f>
        <v>0.000232558139534889</v>
      </c>
      <c r="D58" s="6" t="n">
        <f aca="false">C58</f>
        <v>0.000232558139534889</v>
      </c>
    </row>
    <row r="59" customFormat="false" ht="12.5" hidden="false" customHeight="false" outlineLevel="0" collapsed="false">
      <c r="A59" s="2" t="n">
        <v>42231</v>
      </c>
      <c r="B59" s="0" t="n">
        <v>2.745</v>
      </c>
      <c r="C59" s="0" t="n">
        <f aca="false">(B60-B58)/(A60-A58)</f>
        <v>0.000363636363636364</v>
      </c>
      <c r="D59" s="6" t="n">
        <f aca="false">C59</f>
        <v>0.000363636363636364</v>
      </c>
    </row>
    <row r="60" customFormat="false" ht="12.5" hidden="false" customHeight="false" outlineLevel="0" collapsed="false">
      <c r="A60" s="2" t="n">
        <v>42250</v>
      </c>
      <c r="B60" s="0" t="n">
        <v>2.751</v>
      </c>
      <c r="C60" s="0" t="n">
        <f aca="false">(B61-B59)/(A61-A59)</f>
        <v>0.000395833333333327</v>
      </c>
      <c r="D60" s="6" t="n">
        <f aca="false">C60</f>
        <v>0.000395833333333327</v>
      </c>
    </row>
    <row r="61" customFormat="false" ht="12.5" hidden="false" customHeight="false" outlineLevel="0" collapsed="false">
      <c r="A61" s="2" t="n">
        <v>42279</v>
      </c>
      <c r="B61" s="0" t="n">
        <v>2.764</v>
      </c>
      <c r="C61" s="0" t="n">
        <f aca="false">(B62-B60)/(A62-A60)</f>
        <v>0.000142857142857142</v>
      </c>
      <c r="D61" s="6" t="n">
        <f aca="false">C61</f>
        <v>0.000142857142857142</v>
      </c>
    </row>
    <row r="62" customFormat="false" ht="12.5" hidden="false" customHeight="false" outlineLevel="0" collapsed="false">
      <c r="A62" s="2" t="n">
        <v>42369</v>
      </c>
      <c r="B62" s="0" t="n">
        <v>2.768</v>
      </c>
      <c r="C62" s="0" t="n">
        <f aca="false">(B63-B61)/(A63-A61)</f>
        <v>7.89473684210556E-005</v>
      </c>
      <c r="D62" s="6" t="n">
        <f aca="false">C62</f>
        <v>7.89473684210556E-005</v>
      </c>
    </row>
    <row r="63" customFormat="false" ht="12.5" hidden="false" customHeight="false" outlineLevel="0" collapsed="false">
      <c r="A63" s="2" t="n">
        <v>42393</v>
      </c>
      <c r="B63" s="0" t="n">
        <v>2.773</v>
      </c>
      <c r="C63" s="0" t="n">
        <f aca="false">(B64-B62)/(A64-A62)</f>
        <v>0.000209677419354844</v>
      </c>
      <c r="D63" s="6" t="n">
        <f aca="false">C63</f>
        <v>0.000209677419354844</v>
      </c>
    </row>
    <row r="64" customFormat="false" ht="12.5" hidden="false" customHeight="false" outlineLevel="0" collapsed="false">
      <c r="A64" s="2" t="n">
        <v>42431</v>
      </c>
      <c r="B64" s="0" t="n">
        <v>2.781</v>
      </c>
      <c r="C64" s="0" t="n">
        <f aca="false">(B65-B63)/(A65-A63)</f>
        <v>0.000439999999999999</v>
      </c>
      <c r="D64" s="6" t="n">
        <f aca="false">C64</f>
        <v>0.000439999999999999</v>
      </c>
    </row>
    <row r="65" customFormat="false" ht="12.5" hidden="false" customHeight="false" outlineLevel="0" collapsed="false">
      <c r="A65" s="2" t="n">
        <v>42468</v>
      </c>
      <c r="B65" s="0" t="n">
        <v>2.806</v>
      </c>
      <c r="C65" s="0" t="n">
        <f aca="false">(B66-B64)/(A66-A64)</f>
        <v>0.00119047619047619</v>
      </c>
      <c r="D65" s="6" t="n">
        <f aca="false">C65</f>
        <v>0.00119047619047619</v>
      </c>
    </row>
    <row r="66" customFormat="false" ht="12.5" hidden="false" customHeight="false" outlineLevel="0" collapsed="false">
      <c r="A66" s="3" t="n">
        <v>42473</v>
      </c>
      <c r="B66" s="4" t="n">
        <v>2.831</v>
      </c>
      <c r="C66" s="0" t="n">
        <f aca="false">(B67-B65)/(A67-A65)</f>
        <v>0.000999999999999988</v>
      </c>
      <c r="D66" s="6" t="n">
        <f aca="false">C66</f>
        <v>0.000999999999999988</v>
      </c>
    </row>
    <row r="67" customFormat="false" ht="12.5" hidden="false" customHeight="false" outlineLevel="0" collapsed="false">
      <c r="A67" s="2" t="n">
        <v>42477</v>
      </c>
      <c r="B67" s="0" t="n">
        <v>2.815</v>
      </c>
      <c r="C67" s="0" t="n">
        <f aca="false">(B68-B66)/(A68-A66)</f>
        <v>0.00156521739130435</v>
      </c>
      <c r="D67" s="6" t="n">
        <f aca="false">C67</f>
        <v>0.00156521739130435</v>
      </c>
    </row>
    <row r="68" customFormat="false" ht="12.5" hidden="false" customHeight="false" outlineLevel="0" collapsed="false">
      <c r="A68" s="2" t="n">
        <v>42496</v>
      </c>
      <c r="B68" s="0" t="n">
        <v>2.867</v>
      </c>
      <c r="C68" s="0" t="n">
        <f aca="false">(B69-B67)/(A69-A67)</f>
        <v>0.00245454545454547</v>
      </c>
      <c r="D68" s="6" t="n">
        <f aca="false">C68</f>
        <v>0.00245454545454547</v>
      </c>
    </row>
    <row r="69" customFormat="false" ht="12.5" hidden="false" customHeight="false" outlineLevel="0" collapsed="false">
      <c r="A69" s="2" t="n">
        <v>42499</v>
      </c>
      <c r="B69" s="0" t="n">
        <v>2.869</v>
      </c>
      <c r="C69" s="0" t="n">
        <f aca="false">(B70-B68)/(A70-A68)</f>
        <v>-0.000275862068965517</v>
      </c>
      <c r="D69" s="6" t="n">
        <f aca="false">C69</f>
        <v>-0.000275862068965517</v>
      </c>
    </row>
    <row r="70" customFormat="false" ht="12.5" hidden="false" customHeight="false" outlineLevel="0" collapsed="false">
      <c r="A70" s="2" t="n">
        <v>42525</v>
      </c>
      <c r="B70" s="0" t="n">
        <v>2.859</v>
      </c>
      <c r="C70" s="0" t="n">
        <f aca="false">(B71-B69)/(A71-A69)</f>
        <v>5.71428571428508E-005</v>
      </c>
      <c r="D70" s="6" t="n">
        <f aca="false">C70</f>
        <v>5.71428571428508E-005</v>
      </c>
    </row>
    <row r="71" customFormat="false" ht="12.5" hidden="false" customHeight="false" outlineLevel="0" collapsed="false">
      <c r="A71" s="2" t="n">
        <v>42534</v>
      </c>
      <c r="B71" s="0" t="n">
        <v>2.871</v>
      </c>
      <c r="C71" s="0" t="n">
        <f aca="false">(B72-B70)/(A72-A70)</f>
        <v>0.000571428571428572</v>
      </c>
      <c r="D71" s="6" t="n">
        <f aca="false">C71</f>
        <v>0.000571428571428572</v>
      </c>
    </row>
    <row r="72" customFormat="false" ht="12.5" hidden="false" customHeight="false" outlineLevel="0" collapsed="false">
      <c r="A72" s="2" t="n">
        <v>42553</v>
      </c>
      <c r="B72" s="0" t="n">
        <v>2.875</v>
      </c>
      <c r="C72" s="0" t="n">
        <f aca="false">(B73-B71)/(A73-A71)</f>
        <v>0.000896551724137924</v>
      </c>
      <c r="D72" s="6" t="n">
        <f aca="false">C72</f>
        <v>0.000896551724137924</v>
      </c>
    </row>
    <row r="73" customFormat="false" ht="12.5" hidden="false" customHeight="false" outlineLevel="0" collapsed="false">
      <c r="A73" s="2" t="n">
        <v>42563</v>
      </c>
      <c r="B73" s="0" t="n">
        <v>2.897</v>
      </c>
      <c r="C73" s="0" t="n">
        <f aca="false">(B74-B72)/(A74-A72)</f>
        <v>0.00316666666666666</v>
      </c>
      <c r="D73" s="6" t="n">
        <f aca="false">C73</f>
        <v>0.00316666666666666</v>
      </c>
    </row>
    <row r="74" customFormat="false" ht="12.5" hidden="false" customHeight="false" outlineLevel="0" collapsed="false">
      <c r="A74" s="2" t="n">
        <v>42571</v>
      </c>
      <c r="B74" s="0" t="n">
        <v>2.932</v>
      </c>
      <c r="C74" s="0" t="n">
        <f aca="false">(B75-B73)/(A75-A73)</f>
        <v>0.000555555555555568</v>
      </c>
      <c r="D74" s="6" t="n">
        <f aca="false">C74</f>
        <v>0.000555555555555568</v>
      </c>
    </row>
    <row r="75" customFormat="false" ht="12.5" hidden="false" customHeight="false" outlineLevel="0" collapsed="false">
      <c r="A75" s="2" t="n">
        <v>42581</v>
      </c>
      <c r="B75" s="0" t="n">
        <v>2.907</v>
      </c>
      <c r="C75" s="0" t="n">
        <f aca="false">(B76-B74)/(A76-A74)</f>
        <v>-0.00071428571428572</v>
      </c>
      <c r="D75" s="6" t="n">
        <f aca="false">C75</f>
        <v>-0.00071428571428572</v>
      </c>
    </row>
    <row r="76" customFormat="false" ht="12.5" hidden="false" customHeight="false" outlineLevel="0" collapsed="false">
      <c r="A76" s="2" t="n">
        <v>42592</v>
      </c>
      <c r="B76" s="0" t="n">
        <v>2.917</v>
      </c>
      <c r="C76" s="0" t="n">
        <f aca="false">(B77-B75)/(A77-A75)</f>
        <v>0.000380952380952381</v>
      </c>
      <c r="D76" s="6" t="n">
        <f aca="false">C76</f>
        <v>0.000380952380952381</v>
      </c>
    </row>
    <row r="77" customFormat="false" ht="12.5" hidden="false" customHeight="false" outlineLevel="0" collapsed="false">
      <c r="A77" s="2" t="n">
        <v>42602</v>
      </c>
      <c r="B77" s="0" t="n">
        <v>2.915</v>
      </c>
      <c r="C77" s="0" t="n">
        <f aca="false">(B78-B76)/(A78-A76)</f>
        <v>0.000300000000000011</v>
      </c>
      <c r="D77" s="6" t="n">
        <f aca="false">C77</f>
        <v>0.000300000000000011</v>
      </c>
    </row>
    <row r="78" customFormat="false" ht="12.5" hidden="false" customHeight="false" outlineLevel="0" collapsed="false">
      <c r="A78" s="2" t="n">
        <v>42612</v>
      </c>
      <c r="B78" s="0" t="n">
        <v>2.923</v>
      </c>
      <c r="C78" s="0" t="n">
        <f aca="false">(B79-B77)/(A79-A77)</f>
        <v>0.00147619047619048</v>
      </c>
      <c r="D78" s="6" t="n">
        <f aca="false">C78</f>
        <v>0.00147619047619048</v>
      </c>
    </row>
    <row r="79" customFormat="false" ht="12.5" hidden="false" customHeight="false" outlineLevel="0" collapsed="false">
      <c r="A79" s="2" t="n">
        <v>42623</v>
      </c>
      <c r="B79" s="0" t="n">
        <v>2.946</v>
      </c>
      <c r="C79" s="0" t="n">
        <f aca="false">(B80-B78)/(A80-A78)</f>
        <v>0.000608695652173904</v>
      </c>
      <c r="D79" s="6" t="n">
        <f aca="false">C79</f>
        <v>0.000608695652173904</v>
      </c>
    </row>
    <row r="80" customFormat="false" ht="12.5" hidden="false" customHeight="false" outlineLevel="0" collapsed="false">
      <c r="A80" s="2" t="n">
        <v>42635</v>
      </c>
      <c r="B80" s="0" t="n">
        <v>2.937</v>
      </c>
      <c r="C80" s="0" t="n">
        <f aca="false">(B81-B79)/(A81-A79)</f>
        <v>-0.000150000000000006</v>
      </c>
      <c r="D80" s="6" t="n">
        <f aca="false">C80</f>
        <v>-0.000150000000000006</v>
      </c>
    </row>
    <row r="81" customFormat="false" ht="12.5" hidden="false" customHeight="false" outlineLevel="0" collapsed="false">
      <c r="A81" s="2" t="n">
        <v>42643</v>
      </c>
      <c r="B81" s="0" t="n">
        <v>2.943</v>
      </c>
      <c r="C81" s="0" t="n">
        <f aca="false">(B82-B80)/(A82-A80)</f>
        <v>0.000315789473684222</v>
      </c>
      <c r="D81" s="6" t="n">
        <f aca="false">C81</f>
        <v>0.000315789473684222</v>
      </c>
    </row>
    <row r="82" customFormat="false" ht="12.5" hidden="false" customHeight="false" outlineLevel="0" collapsed="false">
      <c r="A82" s="2" t="n">
        <v>42654</v>
      </c>
      <c r="B82" s="0" t="n">
        <v>2.943</v>
      </c>
      <c r="C82" s="0" t="n">
        <f aca="false">(B83-B81)/(A83-A81)</f>
        <v>-0.000100000000000011</v>
      </c>
      <c r="D82" s="6" t="n">
        <f aca="false">C82</f>
        <v>-0.000100000000000011</v>
      </c>
    </row>
    <row r="83" customFormat="false" ht="12.5" hidden="false" customHeight="false" outlineLevel="0" collapsed="false">
      <c r="A83" s="2" t="n">
        <v>42663</v>
      </c>
      <c r="B83" s="0" t="n">
        <v>2.941</v>
      </c>
      <c r="C83" s="0" t="n">
        <f aca="false">(B84-B82)/(A84-A82)</f>
        <v>-0.000391304347826082</v>
      </c>
      <c r="D83" s="6" t="n">
        <f aca="false">C83</f>
        <v>-0.000391304347826082</v>
      </c>
    </row>
    <row r="84" customFormat="false" ht="12.5" hidden="false" customHeight="false" outlineLevel="0" collapsed="false">
      <c r="A84" s="2" t="n">
        <v>42677</v>
      </c>
      <c r="B84" s="0" t="n">
        <v>2.934</v>
      </c>
      <c r="C84" s="0" t="n">
        <f aca="false">(B85-B83)/(A85-A83)</f>
        <v>-8.69565217391209E-005</v>
      </c>
      <c r="D84" s="6" t="n">
        <f aca="false">C84</f>
        <v>-8.69565217391209E-005</v>
      </c>
    </row>
    <row r="85" customFormat="false" ht="12.5" hidden="false" customHeight="false" outlineLevel="0" collapsed="false">
      <c r="A85" s="2" t="n">
        <v>42686</v>
      </c>
      <c r="B85" s="0" t="n">
        <v>2.939</v>
      </c>
      <c r="C85" s="0" t="n">
        <f aca="false">(B86-B84)/(A86-A84)</f>
        <v>0.00135294117647057</v>
      </c>
      <c r="D85" s="6" t="n">
        <f aca="false">C85</f>
        <v>0.00135294117647057</v>
      </c>
    </row>
    <row r="86" customFormat="false" ht="12.5" hidden="false" customHeight="false" outlineLevel="0" collapsed="false">
      <c r="A86" s="2" t="n">
        <v>42694</v>
      </c>
      <c r="B86" s="0" t="n">
        <v>2.957</v>
      </c>
      <c r="C86" s="0" t="n">
        <f aca="false">(B87-B85)/(A87-A85)</f>
        <v>-0.000181818181818182</v>
      </c>
      <c r="D86" s="6" t="n">
        <f aca="false">C86</f>
        <v>-0.000181818181818182</v>
      </c>
    </row>
    <row r="87" customFormat="false" ht="12.5" hidden="false" customHeight="false" outlineLevel="0" collapsed="false">
      <c r="A87" s="2" t="n">
        <v>42708</v>
      </c>
      <c r="B87" s="0" t="n">
        <v>2.935</v>
      </c>
      <c r="C87" s="0" t="n">
        <f aca="false">(B88-B86)/(A88-A86)</f>
        <v>-0.000370370370370362</v>
      </c>
      <c r="D87" s="6" t="n">
        <f aca="false">C87</f>
        <v>-0.000370370370370362</v>
      </c>
    </row>
    <row r="88" customFormat="false" ht="12.5" hidden="false" customHeight="false" outlineLevel="0" collapsed="false">
      <c r="A88" s="5" t="n">
        <v>42721</v>
      </c>
      <c r="B88" s="0" t="n">
        <v>2.947</v>
      </c>
      <c r="C88" s="0" t="n">
        <f aca="false">(B89-B87)/(A89-A87)</f>
        <v>0.000708333333333329</v>
      </c>
      <c r="D88" s="6" t="n">
        <f aca="false">C88</f>
        <v>0.000708333333333329</v>
      </c>
    </row>
    <row r="89" customFormat="false" ht="12.5" hidden="false" customHeight="false" outlineLevel="0" collapsed="false">
      <c r="A89" s="2" t="n">
        <v>42732</v>
      </c>
      <c r="B89" s="0" t="n">
        <v>2.952</v>
      </c>
      <c r="C89" s="0" t="n">
        <f aca="false">(B90-B88)/(A90-A88)</f>
        <v>0.00053571428571429</v>
      </c>
      <c r="D89" s="6" t="n">
        <f aca="false">C89</f>
        <v>0.00053571428571429</v>
      </c>
    </row>
    <row r="90" customFormat="false" ht="12.5" hidden="false" customHeight="false" outlineLevel="0" collapsed="false">
      <c r="A90" s="5" t="n">
        <v>42749</v>
      </c>
      <c r="B90" s="0" t="n">
        <v>2.962</v>
      </c>
      <c r="C90" s="0" t="n">
        <f aca="false">(B91-B89)/(A91-A89)</f>
        <v>0.00070731707317073</v>
      </c>
      <c r="D90" s="6" t="n">
        <f aca="false">C90</f>
        <v>0.00070731707317073</v>
      </c>
    </row>
    <row r="91" customFormat="false" ht="12.5" hidden="false" customHeight="false" outlineLevel="0" collapsed="false">
      <c r="A91" s="2" t="n">
        <v>42773</v>
      </c>
      <c r="B91" s="0" t="n">
        <v>2.981</v>
      </c>
      <c r="C91" s="0" t="n">
        <f aca="false">(B92-B90)/(A92-A90)</f>
        <v>0.000648648648648649</v>
      </c>
      <c r="D91" s="6" t="n">
        <f aca="false">C91</f>
        <v>0.000648648648648649</v>
      </c>
    </row>
    <row r="92" customFormat="false" ht="12.5" hidden="false" customHeight="false" outlineLevel="0" collapsed="false">
      <c r="A92" s="2" t="n">
        <v>42786</v>
      </c>
      <c r="B92" s="0" t="n">
        <v>2.986</v>
      </c>
      <c r="C92" s="0" t="n">
        <f aca="false">(B93-B91)/(A93-A91)</f>
        <v>0.000458333333333338</v>
      </c>
      <c r="D92" s="6" t="n">
        <f aca="false">C92</f>
        <v>0.000458333333333338</v>
      </c>
    </row>
    <row r="93" customFormat="false" ht="12.5" hidden="false" customHeight="false" outlineLevel="0" collapsed="false">
      <c r="A93" s="2" t="n">
        <v>42797</v>
      </c>
      <c r="B93" s="0" t="n">
        <v>2.992</v>
      </c>
      <c r="C93" s="0" t="n">
        <f aca="false">(B94-B92)/(A94-A92)</f>
        <v>0.000699999999999989</v>
      </c>
      <c r="D93" s="6" t="n">
        <f aca="false">C93</f>
        <v>0.000699999999999989</v>
      </c>
    </row>
    <row r="94" customFormat="false" ht="12.5" hidden="false" customHeight="false" outlineLevel="0" collapsed="false">
      <c r="A94" s="2" t="n">
        <v>42806</v>
      </c>
      <c r="B94" s="0" t="n">
        <v>3</v>
      </c>
      <c r="C94" s="0" t="n">
        <f aca="false">(B95-B93)/(A95-A93)</f>
        <v>0.00122727272727273</v>
      </c>
      <c r="D94" s="6" t="n">
        <f aca="false">C94</f>
        <v>0.00122727272727273</v>
      </c>
    </row>
    <row r="95" customFormat="false" ht="12.5" hidden="false" customHeight="false" outlineLevel="0" collapsed="false">
      <c r="A95" s="2" t="n">
        <v>42819</v>
      </c>
      <c r="B95" s="0" t="n">
        <v>3.019</v>
      </c>
      <c r="C95" s="0" t="n">
        <f aca="false">(B96-B94)/(A96-A94)</f>
        <v>0.00103999999999999</v>
      </c>
      <c r="D95" s="6" t="n">
        <f aca="false">C95</f>
        <v>0.00103999999999999</v>
      </c>
    </row>
    <row r="96" customFormat="false" ht="12.5" hidden="false" customHeight="false" outlineLevel="0" collapsed="false">
      <c r="A96" s="2" t="n">
        <v>42831</v>
      </c>
      <c r="B96" s="0" t="n">
        <v>3.026</v>
      </c>
      <c r="C96" s="0" t="n">
        <f aca="false">(B97-B95)/(A97-A95)</f>
        <v>0.00152941176470587</v>
      </c>
      <c r="D96" s="6" t="n">
        <f aca="false">C96</f>
        <v>0.00152941176470587</v>
      </c>
    </row>
    <row r="97" customFormat="false" ht="12.5" hidden="false" customHeight="false" outlineLevel="0" collapsed="false">
      <c r="A97" s="2" t="n">
        <v>42836</v>
      </c>
      <c r="B97" s="0" t="n">
        <v>3.045</v>
      </c>
      <c r="C97" s="0" t="n">
        <f aca="false">(B98-B96)/(A98-A96)</f>
        <v>-0.000428571428571413</v>
      </c>
      <c r="D97" s="6" t="n">
        <f aca="false">C97</f>
        <v>-0.000428571428571413</v>
      </c>
    </row>
    <row r="98" customFormat="false" ht="12.5" hidden="false" customHeight="false" outlineLevel="0" collapsed="false">
      <c r="A98" s="2" t="n">
        <v>42845</v>
      </c>
      <c r="B98" s="0" t="n">
        <v>3.02</v>
      </c>
      <c r="C98" s="0" t="n">
        <f aca="false">(B99-B97)/(A99-A97)</f>
        <v>-0.00125</v>
      </c>
      <c r="D98" s="6" t="n">
        <f aca="false">C98</f>
        <v>-0.00125</v>
      </c>
    </row>
    <row r="99" customFormat="false" ht="12.5" hidden="false" customHeight="false" outlineLevel="0" collapsed="false">
      <c r="A99" s="2" t="n">
        <v>42856</v>
      </c>
      <c r="B99" s="0" t="n">
        <v>3.02</v>
      </c>
      <c r="C99" s="0" t="n">
        <f aca="false">(B100-B98)/(A100-A98)</f>
        <v>0.00149999999999999</v>
      </c>
      <c r="D99" s="6" t="n">
        <f aca="false">C99</f>
        <v>0.00149999999999999</v>
      </c>
    </row>
    <row r="100" customFormat="false" ht="12.5" hidden="false" customHeight="false" outlineLevel="0" collapsed="false">
      <c r="A100" s="2" t="n">
        <v>42865</v>
      </c>
      <c r="B100" s="0" t="n">
        <v>3.05</v>
      </c>
      <c r="C100" s="0" t="n">
        <f aca="false">(B101-B99)/(A101-A99)</f>
        <v>0.00142105263157895</v>
      </c>
      <c r="D100" s="6" t="n">
        <f aca="false">C100</f>
        <v>0.00142105263157895</v>
      </c>
    </row>
    <row r="101" customFormat="false" ht="12.5" hidden="false" customHeight="false" outlineLevel="0" collapsed="false">
      <c r="A101" s="2" t="n">
        <v>42875</v>
      </c>
      <c r="B101" s="0" t="n">
        <v>3.047</v>
      </c>
      <c r="C101" s="0" t="n">
        <f aca="false">(B102-B100)/(A102-A100)</f>
        <v>0.000478260869565223</v>
      </c>
      <c r="D101" s="6" t="n">
        <f aca="false">C101</f>
        <v>0.000478260869565223</v>
      </c>
    </row>
    <row r="102" customFormat="false" ht="12.5" hidden="false" customHeight="false" outlineLevel="0" collapsed="false">
      <c r="A102" s="2" t="n">
        <v>42888</v>
      </c>
      <c r="B102" s="0" t="n">
        <v>3.061</v>
      </c>
      <c r="C102" s="0" t="n">
        <f aca="false">(B103-B101)/(A103-A101)</f>
        <v>0.00128571428571427</v>
      </c>
      <c r="D102" s="6" t="n">
        <f aca="false">C102</f>
        <v>0.00128571428571427</v>
      </c>
    </row>
    <row r="103" customFormat="false" ht="12.5" hidden="false" customHeight="false" outlineLevel="0" collapsed="false">
      <c r="A103" s="2" t="n">
        <v>42896</v>
      </c>
      <c r="B103" s="0" t="n">
        <v>3.074</v>
      </c>
      <c r="C103" s="0" t="n">
        <f aca="false">(B104-B102)/(A104-A102)</f>
        <v>0.000555555555555568</v>
      </c>
      <c r="D103" s="6" t="n">
        <f aca="false">C103</f>
        <v>0.000555555555555568</v>
      </c>
    </row>
    <row r="104" customFormat="false" ht="12.5" hidden="false" customHeight="false" outlineLevel="0" collapsed="false">
      <c r="A104" s="2" t="n">
        <v>42906</v>
      </c>
      <c r="B104" s="0" t="n">
        <v>3.071</v>
      </c>
      <c r="C104" s="0" t="n">
        <f aca="false">(B105-B103)/(A105-A103)</f>
        <v>-0.00104761904761904</v>
      </c>
      <c r="D104" s="6" t="n">
        <f aca="false">C104</f>
        <v>-0.00104761904761904</v>
      </c>
    </row>
    <row r="105" customFormat="false" ht="12.5" hidden="false" customHeight="false" outlineLevel="0" collapsed="false">
      <c r="A105" s="2" t="n">
        <v>42917</v>
      </c>
      <c r="B105" s="0" t="n">
        <v>3.052</v>
      </c>
      <c r="C105" s="0" t="n">
        <f aca="false">(B106-B104)/(A106-A104)</f>
        <v>0.000449999999999995</v>
      </c>
      <c r="D105" s="6" t="n">
        <f aca="false">C105</f>
        <v>0.000449999999999995</v>
      </c>
    </row>
    <row r="106" customFormat="false" ht="12.5" hidden="false" customHeight="false" outlineLevel="0" collapsed="false">
      <c r="A106" s="2" t="n">
        <v>42926</v>
      </c>
      <c r="B106" s="0" t="n">
        <v>3.08</v>
      </c>
      <c r="C106" s="0" t="n">
        <f aca="false">(B107-B105)/(A107-A105)</f>
        <v>0.00142105263157895</v>
      </c>
      <c r="D106" s="6" t="n">
        <f aca="false">C106</f>
        <v>0.00142105263157895</v>
      </c>
    </row>
    <row r="107" customFormat="false" ht="12.5" hidden="false" customHeight="false" outlineLevel="0" collapsed="false">
      <c r="A107" s="2" t="n">
        <v>42936</v>
      </c>
      <c r="B107" s="0" t="n">
        <v>3.079</v>
      </c>
      <c r="C107" s="0" t="n">
        <f aca="false">(B108-B106)/(A108-A106)</f>
        <v>-0.000272727272727283</v>
      </c>
      <c r="D107" s="6" t="n">
        <f aca="false">C107</f>
        <v>-0.000272727272727283</v>
      </c>
    </row>
    <row r="108" customFormat="false" ht="12.5" hidden="false" customHeight="false" outlineLevel="0" collapsed="false">
      <c r="A108" s="2" t="n">
        <v>42948</v>
      </c>
      <c r="B108" s="0" t="n">
        <v>3.074</v>
      </c>
      <c r="C108" s="0" t="n">
        <f aca="false">(B109-B107)/(A109-A107)</f>
        <v>0.000428571428571429</v>
      </c>
      <c r="D108" s="6" t="n">
        <f aca="false">C108</f>
        <v>0.000428571428571429</v>
      </c>
    </row>
    <row r="109" customFormat="false" ht="12.5" hidden="false" customHeight="false" outlineLevel="0" collapsed="false">
      <c r="A109" s="2" t="n">
        <v>42964</v>
      </c>
      <c r="B109" s="0" t="n">
        <v>3.091</v>
      </c>
      <c r="C109" s="0" t="n">
        <f aca="false">(B110-B108)/(A110-A108)</f>
        <v>0.000750000000000006</v>
      </c>
      <c r="D109" s="6" t="n">
        <f aca="false">C109</f>
        <v>0.000750000000000006</v>
      </c>
    </row>
    <row r="110" customFormat="false" ht="12.5" hidden="false" customHeight="false" outlineLevel="0" collapsed="false">
      <c r="A110" s="2" t="n">
        <v>42968</v>
      </c>
      <c r="B110" s="0" t="n">
        <v>3.089</v>
      </c>
      <c r="C110" s="0" t="n">
        <f aca="false">(B111-B109)/(A111-A109)</f>
        <v>-0.000733333333333341</v>
      </c>
      <c r="D110" s="6" t="n">
        <f aca="false">C110</f>
        <v>-0.000733333333333341</v>
      </c>
    </row>
    <row r="111" customFormat="false" ht="12.5" hidden="false" customHeight="false" outlineLevel="0" collapsed="false">
      <c r="A111" s="2" t="n">
        <v>42979</v>
      </c>
      <c r="B111" s="0" t="n">
        <v>3.08</v>
      </c>
      <c r="C111" s="0" t="n">
        <f aca="false">(B112-B110)/(A112-A110)</f>
        <v>-0.000499999999999989</v>
      </c>
      <c r="D111" s="6" t="n">
        <f aca="false">C111</f>
        <v>-0.000499999999999989</v>
      </c>
    </row>
    <row r="112" customFormat="false" ht="12.5" hidden="false" customHeight="false" outlineLevel="0" collapsed="false">
      <c r="A112" s="2" t="n">
        <v>42988</v>
      </c>
      <c r="B112" s="0" t="n">
        <v>3.079</v>
      </c>
      <c r="C112" s="0" t="n">
        <f aca="false">(B113-B111)/(A113-A111)</f>
        <v>0.000157894736842111</v>
      </c>
      <c r="D112" s="6" t="n">
        <f aca="false">C112</f>
        <v>0.000157894736842111</v>
      </c>
    </row>
    <row r="113" customFormat="false" ht="12.5" hidden="false" customHeight="false" outlineLevel="0" collapsed="false">
      <c r="A113" s="2" t="n">
        <v>42998</v>
      </c>
      <c r="B113" s="0" t="n">
        <v>3.083</v>
      </c>
      <c r="C113" s="0" t="n">
        <f aca="false">(B114-B112)/(A114-A112)</f>
        <v>0.000238095238095233</v>
      </c>
      <c r="D113" s="6" t="n">
        <f aca="false">C113</f>
        <v>0.000238095238095233</v>
      </c>
    </row>
    <row r="114" customFormat="false" ht="12.5" hidden="false" customHeight="false" outlineLevel="0" collapsed="false">
      <c r="A114" s="2" t="n">
        <v>43009</v>
      </c>
      <c r="B114" s="0" t="n">
        <v>3.084</v>
      </c>
      <c r="C114" s="0" t="n">
        <f aca="false">(B115-B113)/(A115-A113)</f>
        <v>0.0004</v>
      </c>
      <c r="D114" s="6" t="n">
        <f aca="false">C114</f>
        <v>0.0004</v>
      </c>
    </row>
    <row r="115" customFormat="false" ht="12.5" hidden="false" customHeight="false" outlineLevel="0" collapsed="false">
      <c r="A115" s="2" t="n">
        <v>43018</v>
      </c>
      <c r="B115" s="0" t="n">
        <v>3.091</v>
      </c>
      <c r="C115" s="0" t="n">
        <f aca="false">(B116-B114)/(A116-A114)</f>
        <v>0.000315789473684199</v>
      </c>
      <c r="D115" s="6" t="n">
        <f aca="false">C115</f>
        <v>0.000315789473684199</v>
      </c>
    </row>
    <row r="116" customFormat="false" ht="12.5" hidden="false" customHeight="false" outlineLevel="0" collapsed="false">
      <c r="A116" s="2" t="n">
        <v>43028</v>
      </c>
      <c r="B116" s="0" t="n">
        <v>3.09</v>
      </c>
      <c r="C116" s="0" t="n">
        <f aca="false">(B117-B115)/(A117-A115)</f>
        <v>-0.000727272727272728</v>
      </c>
      <c r="D116" s="6" t="n">
        <f aca="false">C116</f>
        <v>-0.000727272727272728</v>
      </c>
    </row>
    <row r="117" customFormat="false" ht="12.5" hidden="false" customHeight="false" outlineLevel="0" collapsed="false">
      <c r="A117" s="2" t="n">
        <v>43040</v>
      </c>
      <c r="B117" s="0" t="n">
        <v>3.075</v>
      </c>
      <c r="C117" s="0" t="n">
        <f aca="false">(B118-B116)/(A118-A116)</f>
        <v>-0.000142857142857127</v>
      </c>
      <c r="D117" s="6" t="n">
        <f aca="false">C117</f>
        <v>-0.000142857142857127</v>
      </c>
    </row>
    <row r="118" customFormat="false" ht="12.5" hidden="false" customHeight="false" outlineLevel="0" collapsed="false">
      <c r="A118" s="2" t="n">
        <v>43049</v>
      </c>
      <c r="B118" s="0" t="n">
        <v>3.087</v>
      </c>
      <c r="C118" s="0" t="n">
        <f aca="false">(B119-B117)/(A119-A117)</f>
        <v>0.000214285714285691</v>
      </c>
      <c r="D118" s="6" t="n">
        <f aca="false">C118</f>
        <v>0.000214285714285691</v>
      </c>
    </row>
    <row r="119" customFormat="false" ht="12.5" hidden="false" customHeight="false" outlineLevel="0" collapsed="false">
      <c r="A119" s="2" t="n">
        <v>43054</v>
      </c>
      <c r="B119" s="0" t="n">
        <v>3.078</v>
      </c>
      <c r="C119" s="0" t="n">
        <f aca="false">(B120-B118)/(A120-A118)</f>
        <v>-0.000428571428571445</v>
      </c>
      <c r="D119" s="6" t="n">
        <f aca="false">C119</f>
        <v>-0.000428571428571445</v>
      </c>
    </row>
    <row r="120" customFormat="false" ht="12.5" hidden="false" customHeight="false" outlineLevel="0" collapsed="false">
      <c r="A120" s="2" t="n">
        <v>43070</v>
      </c>
      <c r="B120" s="0" t="n">
        <v>3.078</v>
      </c>
      <c r="C120" s="0" t="n">
        <f aca="false">(B121-B119)/(A121-A119)</f>
        <v>-0.00016</v>
      </c>
      <c r="D120" s="6" t="n">
        <f aca="false">C120</f>
        <v>-0.00016</v>
      </c>
    </row>
    <row r="121" customFormat="false" ht="12.5" hidden="false" customHeight="false" outlineLevel="0" collapsed="false">
      <c r="A121" s="2" t="n">
        <v>43079</v>
      </c>
      <c r="B121" s="0" t="n">
        <v>3.074</v>
      </c>
      <c r="C121" s="0" t="n">
        <f aca="false">(B122-B120)/(A122-A120)</f>
        <v>0.000451612903225814</v>
      </c>
      <c r="D121" s="6" t="n">
        <f aca="false">C121</f>
        <v>0.000451612903225814</v>
      </c>
    </row>
    <row r="122" customFormat="false" ht="12.5" hidden="false" customHeight="false" outlineLevel="0" collapsed="false">
      <c r="A122" s="2" t="n">
        <v>43101</v>
      </c>
      <c r="B122" s="0" t="n">
        <v>3.092</v>
      </c>
      <c r="C122" s="0" t="n">
        <f aca="false">(B123-B121)/(A123-A121)</f>
        <v>0.000290322580645172</v>
      </c>
      <c r="D122" s="6" t="n">
        <f aca="false">C122</f>
        <v>0.000290322580645172</v>
      </c>
    </row>
    <row r="123" customFormat="false" ht="12.5" hidden="false" customHeight="false" outlineLevel="0" collapsed="false">
      <c r="A123" s="2" t="n">
        <v>43110</v>
      </c>
      <c r="B123" s="0" t="n">
        <v>3.083</v>
      </c>
      <c r="C123" s="0" t="n">
        <f aca="false">(B124-B122)/(A124-A122)</f>
        <v>-0.000578947368421059</v>
      </c>
      <c r="D123" s="6" t="n">
        <f aca="false">C123</f>
        <v>-0.000578947368421059</v>
      </c>
    </row>
    <row r="124" customFormat="false" ht="12.5" hidden="false" customHeight="false" outlineLevel="0" collapsed="false">
      <c r="A124" s="2" t="n">
        <v>43120</v>
      </c>
      <c r="B124" s="0" t="n">
        <v>3.081</v>
      </c>
      <c r="C124" s="0" t="n">
        <f aca="false">(B125-B123)/(A125-A123)</f>
        <v>0.000545454545454546</v>
      </c>
      <c r="D124" s="6" t="n">
        <f aca="false">C124</f>
        <v>0.000545454545454546</v>
      </c>
    </row>
    <row r="125" customFormat="false" ht="12.5" hidden="false" customHeight="false" outlineLevel="0" collapsed="false">
      <c r="A125" s="2" t="n">
        <v>43132</v>
      </c>
      <c r="B125" s="0" t="n">
        <v>3.095</v>
      </c>
      <c r="C125" s="0" t="n">
        <f aca="false">(B126-B124)/(A126-A124)</f>
        <v>0</v>
      </c>
      <c r="D125" s="6" t="n">
        <f aca="false">C125</f>
        <v>0</v>
      </c>
    </row>
    <row r="126" customFormat="false" ht="12.5" hidden="false" customHeight="false" outlineLevel="0" collapsed="false">
      <c r="A126" s="2" t="n">
        <v>43141</v>
      </c>
      <c r="B126" s="0" t="n">
        <v>3.081</v>
      </c>
      <c r="C126" s="0" t="n">
        <f aca="false">(B127-B125)/(A127-A125)</f>
        <v>-0.000526315789473696</v>
      </c>
      <c r="D126" s="6" t="n">
        <f aca="false">C126</f>
        <v>-0.000526315789473696</v>
      </c>
    </row>
    <row r="127" customFormat="false" ht="12.5" hidden="false" customHeight="false" outlineLevel="0" collapsed="false">
      <c r="A127" s="2" t="n">
        <v>43151</v>
      </c>
      <c r="B127" s="0" t="n">
        <v>3.085</v>
      </c>
      <c r="C127" s="0" t="n">
        <f aca="false">(B128-B126)/(A128-A126)</f>
        <v>0.000210526315789474</v>
      </c>
      <c r="D127" s="6" t="n">
        <f aca="false">C127</f>
        <v>0.000210526315789474</v>
      </c>
    </row>
    <row r="128" customFormat="false" ht="12.5" hidden="false" customHeight="false" outlineLevel="0" collapsed="false">
      <c r="A128" s="2" t="n">
        <v>43160</v>
      </c>
      <c r="B128" s="0" t="n">
        <v>3.085</v>
      </c>
      <c r="C128" s="0" t="n">
        <f aca="false">(B129-B127)/(A129-A127)</f>
        <v>0.00161111111111111</v>
      </c>
      <c r="D128" s="6" t="n">
        <f aca="false">C128</f>
        <v>0.00161111111111111</v>
      </c>
    </row>
    <row r="129" customFormat="false" ht="12.5" hidden="false" customHeight="false" outlineLevel="0" collapsed="false">
      <c r="A129" s="2" t="n">
        <v>43169</v>
      </c>
      <c r="B129" s="0" t="n">
        <v>3.114</v>
      </c>
      <c r="C129" s="0" t="n">
        <f aca="false">(B130-B128)/(A130-A128)</f>
        <v>-0.000105263157894725</v>
      </c>
      <c r="D129" s="6" t="n">
        <f aca="false">C129</f>
        <v>-0.000105263157894725</v>
      </c>
    </row>
    <row r="130" customFormat="false" ht="12.5" hidden="false" customHeight="false" outlineLevel="0" collapsed="false">
      <c r="A130" s="2" t="n">
        <v>43179</v>
      </c>
      <c r="B130" s="0" t="n">
        <v>3.083</v>
      </c>
      <c r="C130" s="0" t="n">
        <f aca="false">(B131-B129)/(A131-A129)</f>
        <v>0.000545454545454546</v>
      </c>
      <c r="D130" s="6" t="n">
        <f aca="false">C130</f>
        <v>0.000545454545454546</v>
      </c>
    </row>
    <row r="131" customFormat="false" ht="12.5" hidden="false" customHeight="false" outlineLevel="0" collapsed="false">
      <c r="A131" s="2" t="n">
        <v>43191</v>
      </c>
      <c r="B131" s="0" t="n">
        <v>3.126</v>
      </c>
      <c r="C131" s="0" t="n">
        <f aca="false">(B132-B130)/(A132-A130)</f>
        <v>0.00314285714285714</v>
      </c>
      <c r="D131" s="6" t="n">
        <f aca="false">C131</f>
        <v>0.00314285714285714</v>
      </c>
    </row>
    <row r="132" customFormat="false" ht="12.5" hidden="false" customHeight="false" outlineLevel="0" collapsed="false">
      <c r="A132" s="2" t="n">
        <v>43200</v>
      </c>
      <c r="B132" s="0" t="n">
        <v>3.149</v>
      </c>
      <c r="C132" s="0" t="n">
        <f aca="false">(B133-B131)/(A133-A131)</f>
        <v>0.00310526315789475</v>
      </c>
      <c r="D132" s="6" t="n">
        <f aca="false">C132</f>
        <v>0.00310526315789475</v>
      </c>
    </row>
    <row r="133" customFormat="false" ht="12.5" hidden="false" customHeight="false" outlineLevel="0" collapsed="false">
      <c r="A133" s="2" t="n">
        <v>43210</v>
      </c>
      <c r="B133" s="0" t="n">
        <v>3.185</v>
      </c>
      <c r="C133" s="0" t="n">
        <f aca="false">(B134-B132)/(A134-A132)</f>
        <v>-0.000809523809523805</v>
      </c>
      <c r="D133" s="6" t="n">
        <f aca="false">C133</f>
        <v>-0.000809523809523805</v>
      </c>
    </row>
    <row r="134" customFormat="false" ht="12.5" hidden="false" customHeight="false" outlineLevel="0" collapsed="false">
      <c r="A134" s="2" t="n">
        <v>43221</v>
      </c>
      <c r="B134" s="0" t="n">
        <v>3.132</v>
      </c>
      <c r="C134" s="0" t="n">
        <f aca="false">(B135-B133)/(A135-A133)</f>
        <v>-0.000300000000000011</v>
      </c>
      <c r="D134" s="6" t="n">
        <f aca="false">C134</f>
        <v>-0.000300000000000011</v>
      </c>
    </row>
    <row r="135" customFormat="false" ht="12.5" hidden="false" customHeight="false" outlineLevel="0" collapsed="false">
      <c r="A135" s="2" t="n">
        <v>43230</v>
      </c>
      <c r="B135" s="0" t="n">
        <v>3.179</v>
      </c>
      <c r="C135" s="0" t="n">
        <f aca="false">(B136-B134)/(A136-A134)</f>
        <v>0.00231578947368421</v>
      </c>
      <c r="D135" s="6" t="n">
        <f aca="false">C135</f>
        <v>0.00231578947368421</v>
      </c>
    </row>
    <row r="136" customFormat="false" ht="12.5" hidden="false" customHeight="false" outlineLevel="0" collapsed="false">
      <c r="A136" s="2" t="n">
        <v>43240</v>
      </c>
      <c r="B136" s="0" t="n">
        <v>3.176</v>
      </c>
      <c r="C136" s="0" t="n">
        <f aca="false">(B137-B135)/(A137-A135)</f>
        <v>0.000363636363636364</v>
      </c>
      <c r="D136" s="6" t="n">
        <f aca="false">C136</f>
        <v>0.000363636363636364</v>
      </c>
    </row>
    <row r="137" customFormat="false" ht="12.5" hidden="false" customHeight="false" outlineLevel="0" collapsed="false">
      <c r="A137" s="2" t="n">
        <v>43252</v>
      </c>
      <c r="B137" s="0" t="n">
        <v>3.187</v>
      </c>
      <c r="C137" s="0" t="n">
        <f aca="false">(B138-B136)/(A138-A136)</f>
        <v>0.000476190476190466</v>
      </c>
      <c r="D137" s="6" t="n">
        <f aca="false">C137</f>
        <v>0.000476190476190466</v>
      </c>
    </row>
    <row r="138" customFormat="false" ht="12.5" hidden="false" customHeight="false" outlineLevel="0" collapsed="false">
      <c r="A138" s="2" t="n">
        <v>43261</v>
      </c>
      <c r="B138" s="0" t="n">
        <v>3.186</v>
      </c>
      <c r="C138" s="0" t="n">
        <f aca="false">(B139-B137)/(A139-A137)</f>
        <v>0.000157894736842111</v>
      </c>
      <c r="D138" s="6" t="n">
        <f aca="false">C138</f>
        <v>0.000157894736842111</v>
      </c>
    </row>
    <row r="139" customFormat="false" ht="12.5" hidden="false" customHeight="false" outlineLevel="0" collapsed="false">
      <c r="A139" s="2" t="n">
        <v>43271</v>
      </c>
      <c r="B139" s="0" t="n">
        <v>3.19</v>
      </c>
      <c r="C139" s="0" t="n">
        <f aca="false">(B140-B138)/(A140-A138)</f>
        <v>0.000809523809523805</v>
      </c>
      <c r="D139" s="6" t="n">
        <f aca="false">C139</f>
        <v>0.000809523809523805</v>
      </c>
    </row>
    <row r="140" customFormat="false" ht="12.5" hidden="false" customHeight="false" outlineLevel="0" collapsed="false">
      <c r="A140" s="2" t="n">
        <v>43282</v>
      </c>
      <c r="B140" s="0" t="n">
        <v>3.203</v>
      </c>
      <c r="C140" s="0" t="n">
        <f aca="false">(B141-B139)/(A141-A139)</f>
        <v>-0.000299999999999989</v>
      </c>
      <c r="D140" s="6" t="n">
        <f aca="false">C140</f>
        <v>-0.000299999999999989</v>
      </c>
    </row>
    <row r="141" customFormat="false" ht="12.5" hidden="false" customHeight="false" outlineLevel="0" collapsed="false">
      <c r="A141" s="2" t="n">
        <v>43291</v>
      </c>
      <c r="B141" s="0" t="n">
        <v>3.184</v>
      </c>
      <c r="C141" s="0" t="n">
        <f aca="false">(B142-B140)/(A142-A140)</f>
        <v>-0.000736842105263147</v>
      </c>
      <c r="D141" s="6" t="n">
        <f aca="false">C141</f>
        <v>-0.000736842105263147</v>
      </c>
    </row>
    <row r="142" customFormat="false" ht="12.5" hidden="false" customHeight="false" outlineLevel="0" collapsed="false">
      <c r="A142" s="2" t="n">
        <v>43301</v>
      </c>
      <c r="B142" s="0" t="n">
        <v>3.189</v>
      </c>
      <c r="C142" s="0" t="n">
        <f aca="false">(B143-B141)/(A143-A141)</f>
        <v>0.000590909090909086</v>
      </c>
      <c r="D142" s="6" t="n">
        <f aca="false">C142</f>
        <v>0.000590909090909086</v>
      </c>
    </row>
    <row r="143" customFormat="false" ht="12.5" hidden="false" customHeight="false" outlineLevel="0" collapsed="false">
      <c r="A143" s="2" t="n">
        <v>43313</v>
      </c>
      <c r="B143" s="0" t="n">
        <v>3.197</v>
      </c>
      <c r="C143" s="0" t="n">
        <f aca="false">(B144-B142)/(A144-A142)</f>
        <v>-0.000380952380952381</v>
      </c>
      <c r="D143" s="6" t="n">
        <f aca="false">C143</f>
        <v>-0.000380952380952381</v>
      </c>
    </row>
    <row r="144" customFormat="false" ht="12.5" hidden="false" customHeight="false" outlineLevel="0" collapsed="false">
      <c r="A144" s="2" t="n">
        <v>43322</v>
      </c>
      <c r="B144" s="0" t="n">
        <v>3.181</v>
      </c>
      <c r="C144" s="0" t="n">
        <f aca="false">(B145-B143)/(A145-A143)</f>
        <v>5.26315789473626E-005</v>
      </c>
      <c r="D144" s="6" t="n">
        <f aca="false">C144</f>
        <v>5.26315789473626E-005</v>
      </c>
    </row>
    <row r="145" customFormat="false" ht="12.5" hidden="false" customHeight="false" outlineLevel="0" collapsed="false">
      <c r="A145" s="2" t="n">
        <v>43332</v>
      </c>
      <c r="B145" s="0" t="n">
        <v>3.198</v>
      </c>
      <c r="C145" s="0" t="n">
        <f aca="false">(B146-B144)/(A146-A144)</f>
        <v>0.000772727272727268</v>
      </c>
      <c r="D145" s="6" t="n">
        <f aca="false">C145</f>
        <v>0.000772727272727268</v>
      </c>
    </row>
    <row r="146" customFormat="false" ht="12.5" hidden="false" customHeight="false" outlineLevel="0" collapsed="false">
      <c r="A146" s="2" t="n">
        <v>43344</v>
      </c>
      <c r="B146" s="0" t="n">
        <v>3.198</v>
      </c>
      <c r="C146" s="0" t="n">
        <f aca="false">(B147-B145)/(A147-A145)</f>
        <v>0.000190476190476191</v>
      </c>
      <c r="D146" s="6" t="n">
        <f aca="false">C146</f>
        <v>0.000190476190476191</v>
      </c>
    </row>
    <row r="147" customFormat="false" ht="12.5" hidden="false" customHeight="false" outlineLevel="0" collapsed="false">
      <c r="A147" s="2" t="n">
        <v>43353</v>
      </c>
      <c r="B147" s="0" t="n">
        <v>3.202</v>
      </c>
      <c r="C147" s="0" t="n">
        <f aca="false">(B148-B146)/(A148-A146)</f>
        <v>-5.26315789473626E-005</v>
      </c>
      <c r="D147" s="6" t="n">
        <f aca="false">C147</f>
        <v>-5.26315789473626E-005</v>
      </c>
    </row>
    <row r="148" customFormat="false" ht="12.5" hidden="false" customHeight="false" outlineLevel="0" collapsed="false">
      <c r="A148" s="2" t="n">
        <v>43363</v>
      </c>
      <c r="B148" s="0" t="n">
        <v>3.197</v>
      </c>
      <c r="C148" s="0" t="n">
        <f aca="false">(B149-B147)/(A149-A147)</f>
        <v>-0.000238095238095233</v>
      </c>
      <c r="D148" s="6" t="n">
        <f aca="false">C148</f>
        <v>-0.000238095238095233</v>
      </c>
    </row>
    <row r="149" customFormat="false" ht="12.5" hidden="false" customHeight="false" outlineLevel="0" collapsed="false">
      <c r="A149" s="2" t="n">
        <v>43374</v>
      </c>
      <c r="B149" s="0" t="n">
        <v>3.197</v>
      </c>
      <c r="C149" s="0" t="n">
        <f aca="false">(B150-B148)/(A150-A148)</f>
        <v>0.00109999999999999</v>
      </c>
      <c r="D149" s="6" t="n">
        <f aca="false">C149</f>
        <v>0.00109999999999999</v>
      </c>
    </row>
    <row r="150" customFormat="false" ht="12.5" hidden="false" customHeight="false" outlineLevel="0" collapsed="false">
      <c r="A150" s="2" t="n">
        <v>43383</v>
      </c>
      <c r="B150" s="0" t="n">
        <v>3.219</v>
      </c>
      <c r="C150" s="0" t="n">
        <f aca="false">(B151-B149)/(A151-A149)</f>
        <v>0.000105263157894725</v>
      </c>
      <c r="D150" s="6" t="n">
        <f aca="false">C150</f>
        <v>0.000105263157894725</v>
      </c>
    </row>
    <row r="151" customFormat="false" ht="12.5" hidden="false" customHeight="false" outlineLevel="0" collapsed="false">
      <c r="A151" s="2" t="n">
        <v>43393</v>
      </c>
      <c r="B151" s="0" t="n">
        <v>3.199</v>
      </c>
      <c r="C151" s="0" t="n">
        <f aca="false">(B152-B150)/(A152-A150)</f>
        <v>-0.000677419354838707</v>
      </c>
      <c r="D151" s="6" t="n">
        <f aca="false">C151</f>
        <v>-0.000677419354838707</v>
      </c>
    </row>
    <row r="152" customFormat="false" ht="12.5" hidden="false" customHeight="false" outlineLevel="0" collapsed="false">
      <c r="A152" s="2" t="n">
        <v>43414</v>
      </c>
      <c r="B152" s="0" t="n">
        <v>3.198</v>
      </c>
      <c r="C152" s="0" t="n">
        <f aca="false">(B153-B151)/(A153-A151)</f>
        <v>0.000255813953488375</v>
      </c>
      <c r="D152" s="6" t="n">
        <f aca="false">C152</f>
        <v>0.000255813953488375</v>
      </c>
    </row>
    <row r="153" customFormat="false" ht="12.5" hidden="false" customHeight="false" outlineLevel="0" collapsed="false">
      <c r="A153" s="2" t="n">
        <v>43436</v>
      </c>
      <c r="B153" s="0" t="n">
        <v>3.21</v>
      </c>
      <c r="C153" s="0" t="n">
        <f aca="false">(B154-B152)/(A154-A152)</f>
        <v>-0.000617647058823527</v>
      </c>
      <c r="D153" s="6" t="n">
        <f aca="false">C153</f>
        <v>-0.000617647058823527</v>
      </c>
    </row>
    <row r="154" customFormat="false" ht="12.5" hidden="false" customHeight="false" outlineLevel="0" collapsed="false">
      <c r="A154" s="2" t="n">
        <v>43448</v>
      </c>
      <c r="B154" s="0" t="n">
        <v>3.177</v>
      </c>
      <c r="C154" s="0" t="n">
        <f aca="false">(B155-B153)/(A155-A153)</f>
        <v>-0.000458333333333338</v>
      </c>
      <c r="D154" s="6" t="n">
        <f aca="false">C154</f>
        <v>-0.000458333333333338</v>
      </c>
    </row>
    <row r="155" customFormat="false" ht="12.5" hidden="false" customHeight="false" outlineLevel="0" collapsed="false">
      <c r="A155" s="2" t="n">
        <v>43460</v>
      </c>
      <c r="B155" s="0" t="n">
        <v>3.199</v>
      </c>
      <c r="C155" s="0" t="n">
        <f aca="false">(B156-B154)/(A156-A154)</f>
        <v>0.000896551724137924</v>
      </c>
      <c r="D155" s="6" t="n">
        <f aca="false">C155</f>
        <v>0.000896551724137924</v>
      </c>
    </row>
    <row r="156" customFormat="false" ht="12.5" hidden="false" customHeight="false" outlineLevel="0" collapsed="false">
      <c r="A156" s="2" t="n">
        <v>43477</v>
      </c>
      <c r="B156" s="0" t="n">
        <v>3.203</v>
      </c>
      <c r="C156" s="0" t="n">
        <f aca="false">(B157-B155)/(A157-A155)</f>
        <v>2.56410256410342E-005</v>
      </c>
      <c r="D156" s="6" t="n">
        <f aca="false">C156</f>
        <v>2.56410256410342E-005</v>
      </c>
    </row>
    <row r="157" customFormat="false" ht="12.5" hidden="false" customHeight="false" outlineLevel="0" collapsed="false">
      <c r="A157" s="2" t="n">
        <v>43499</v>
      </c>
      <c r="B157" s="0" t="n">
        <v>3.2</v>
      </c>
      <c r="C157" s="0" t="n">
        <f aca="false">(B158-B156)/(A158-A156)</f>
        <v>0.000228571428571429</v>
      </c>
      <c r="D157" s="6" t="n">
        <f aca="false">C157</f>
        <v>0.000228571428571429</v>
      </c>
    </row>
    <row r="158" customFormat="false" ht="12.5" hidden="false" customHeight="false" outlineLevel="0" collapsed="false">
      <c r="A158" s="2" t="n">
        <v>43512</v>
      </c>
      <c r="B158" s="0" t="n">
        <v>3.211</v>
      </c>
      <c r="C158" s="0" t="n">
        <f aca="false">(B159-B157)/(A159-A157)</f>
        <v>0.00152380952380953</v>
      </c>
      <c r="D158" s="6" t="n">
        <f aca="false">C158</f>
        <v>0.00152380952380953</v>
      </c>
    </row>
    <row r="159" customFormat="false" ht="12.5" hidden="false" customHeight="false" outlineLevel="0" collapsed="false">
      <c r="A159" s="2" t="n">
        <v>43520</v>
      </c>
      <c r="B159" s="0" t="n">
        <v>3.232</v>
      </c>
      <c r="C159" s="0" t="n">
        <f aca="false">(B160-B158)/(A160-A158)</f>
        <v>0.000952380952380953</v>
      </c>
      <c r="D159" s="6" t="n">
        <f aca="false">C159</f>
        <v>0.000952380952380953</v>
      </c>
    </row>
    <row r="160" customFormat="false" ht="12.5" hidden="false" customHeight="false" outlineLevel="0" collapsed="false">
      <c r="A160" s="2" t="n">
        <v>43533</v>
      </c>
      <c r="B160" s="0" t="n">
        <v>3.231</v>
      </c>
      <c r="C160" s="0" t="n">
        <f aca="false">(B161-B159)/(A161-A159)</f>
        <v>0.000238095238095233</v>
      </c>
      <c r="D160" s="6" t="n">
        <f aca="false">C160</f>
        <v>0.000238095238095233</v>
      </c>
    </row>
    <row r="161" customFormat="false" ht="12.5" hidden="false" customHeight="false" outlineLevel="0" collapsed="false">
      <c r="A161" s="2" t="n">
        <v>43562</v>
      </c>
      <c r="B161" s="0" t="n">
        <v>3.242</v>
      </c>
      <c r="C161" s="0" t="n">
        <f aca="false">(B162-B160)/(A162-A160)</f>
        <v>0.000158730158730162</v>
      </c>
      <c r="D161" s="6" t="n">
        <f aca="false">C161</f>
        <v>0.000158730158730162</v>
      </c>
    </row>
    <row r="162" customFormat="false" ht="12.5" hidden="false" customHeight="false" outlineLevel="0" collapsed="false">
      <c r="A162" s="2" t="n">
        <v>43596</v>
      </c>
      <c r="B162" s="0" t="n">
        <v>3.241</v>
      </c>
      <c r="C162" s="0" t="n">
        <f aca="false">(B163-B161)/(A163-A161)</f>
        <v>0.000410714285714288</v>
      </c>
      <c r="D162" s="6" t="n">
        <f aca="false">C162</f>
        <v>0.000410714285714288</v>
      </c>
    </row>
    <row r="163" customFormat="false" ht="12.5" hidden="false" customHeight="false" outlineLevel="0" collapsed="false">
      <c r="A163" s="2" t="n">
        <v>43618</v>
      </c>
      <c r="B163" s="0" t="n">
        <v>3.265</v>
      </c>
      <c r="C163" s="0" t="n">
        <f aca="false">(B164-B162)/(A164-A162)</f>
        <v>0.000444444444444445</v>
      </c>
      <c r="D163" s="6" t="n">
        <f aca="false">C163</f>
        <v>0.000444444444444445</v>
      </c>
    </row>
    <row r="164" customFormat="false" ht="12.5" hidden="false" customHeight="false" outlineLevel="0" collapsed="false">
      <c r="A164" s="2" t="n">
        <v>43632</v>
      </c>
      <c r="B164" s="0" t="n">
        <v>3.257</v>
      </c>
      <c r="C164" s="0" t="n">
        <f aca="false">(B165-B163)/(A165-A163)</f>
        <v>0.001</v>
      </c>
      <c r="D164" s="6" t="n">
        <f aca="false">C164</f>
        <v>0.001</v>
      </c>
    </row>
    <row r="165" customFormat="false" ht="12.5" hidden="false" customHeight="false" outlineLevel="0" collapsed="false">
      <c r="A165" s="2" t="n">
        <v>43646</v>
      </c>
      <c r="B165" s="0" t="n">
        <v>3.293</v>
      </c>
      <c r="C165" s="0" t="n">
        <f aca="false">(B166-B164)/(A166-A164)</f>
        <v>0.000933333333333334</v>
      </c>
      <c r="D165" s="6" t="n">
        <f aca="false">C165</f>
        <v>0.000933333333333334</v>
      </c>
    </row>
    <row r="166" customFormat="false" ht="12.5" hidden="false" customHeight="false" outlineLevel="0" collapsed="false">
      <c r="A166" s="2" t="n">
        <v>43662</v>
      </c>
      <c r="B166" s="0" t="n">
        <v>3.285</v>
      </c>
      <c r="C166" s="0" t="n">
        <f aca="false">(B167-B165)/(A167-A165)</f>
        <v>-0.00011538461538462</v>
      </c>
      <c r="D166" s="6" t="n">
        <f aca="false">C166</f>
        <v>-0.00011538461538462</v>
      </c>
    </row>
    <row r="167" customFormat="false" ht="12.5" hidden="false" customHeight="false" outlineLevel="0" collapsed="false">
      <c r="A167" s="2" t="n">
        <v>43672</v>
      </c>
      <c r="B167" s="0" t="n">
        <v>3.29</v>
      </c>
      <c r="C167" s="0" t="n">
        <f aca="false">(B168-B166)/(A168-A166)</f>
        <v>0.000800000000000001</v>
      </c>
      <c r="D167" s="6" t="n">
        <f aca="false">C167</f>
        <v>0.000800000000000001</v>
      </c>
    </row>
    <row r="168" customFormat="false" ht="12.5" hidden="false" customHeight="false" outlineLevel="0" collapsed="false">
      <c r="A168" s="2" t="n">
        <v>43702</v>
      </c>
      <c r="B168" s="0" t="n">
        <v>3.317</v>
      </c>
      <c r="C168" s="0" t="n">
        <f aca="false">(B169-B167)/(A169-A167)</f>
        <v>-0.000604651162790703</v>
      </c>
      <c r="D168" s="6" t="n">
        <f aca="false">C168</f>
        <v>-0.000604651162790703</v>
      </c>
    </row>
    <row r="169" customFormat="false" ht="12.5" hidden="false" customHeight="false" outlineLevel="0" collapsed="false">
      <c r="A169" s="2" t="n">
        <v>43715</v>
      </c>
      <c r="B169" s="0" t="n">
        <v>3.264</v>
      </c>
      <c r="C169" s="0" t="n">
        <f aca="false">(B170-B168)/(A170-A168)</f>
        <v>-0.000428571428571429</v>
      </c>
      <c r="D169" s="6" t="n">
        <f aca="false">C169</f>
        <v>-0.000428571428571429</v>
      </c>
    </row>
    <row r="170" customFormat="false" ht="12.5" hidden="false" customHeight="false" outlineLevel="0" collapsed="false">
      <c r="A170" s="2" t="n">
        <v>43730</v>
      </c>
      <c r="B170" s="0" t="n">
        <v>3.305</v>
      </c>
      <c r="C170" s="0" t="n">
        <f aca="false">(B171-B169)/(A171-A169)</f>
        <v>0.00141379310344829</v>
      </c>
      <c r="D170" s="6" t="n">
        <f aca="false">C170</f>
        <v>0.00141379310344829</v>
      </c>
    </row>
    <row r="171" customFormat="false" ht="12.5" hidden="false" customHeight="false" outlineLevel="0" collapsed="false">
      <c r="A171" s="2" t="n">
        <v>43744</v>
      </c>
      <c r="B171" s="0" t="n">
        <v>3.305</v>
      </c>
      <c r="C171" s="0" t="n">
        <f aca="false">(B172-B170)/(A172-A170)</f>
        <v>-0.00017241379310346</v>
      </c>
      <c r="D171" s="6" t="n">
        <f aca="false">C171</f>
        <v>-0.00017241379310346</v>
      </c>
    </row>
    <row r="172" customFormat="false" ht="12.5" hidden="false" customHeight="false" outlineLevel="0" collapsed="false">
      <c r="A172" s="2" t="n">
        <v>43759</v>
      </c>
      <c r="B172" s="0" t="n">
        <v>3.3</v>
      </c>
      <c r="C172" s="0" t="n">
        <f aca="false">(B173-B171)/(A173-A171)</f>
        <v>0.00233333333333337</v>
      </c>
      <c r="D172" s="6" t="n">
        <f aca="false">C172</f>
        <v>0.00233333333333337</v>
      </c>
    </row>
    <row r="173" customFormat="false" ht="12.5" hidden="false" customHeight="false" outlineLevel="0" collapsed="false">
      <c r="A173" s="2" t="n">
        <v>43741</v>
      </c>
      <c r="B173" s="0" t="n">
        <v>3.298</v>
      </c>
      <c r="C173" s="0" t="n">
        <f aca="false">(B174-B172)/(A174-A172)</f>
        <v>-0.000499999999999989</v>
      </c>
      <c r="D173" s="6" t="n">
        <f aca="false">C173</f>
        <v>-0.000499999999999989</v>
      </c>
    </row>
    <row r="174" customFormat="false" ht="12.5" hidden="false" customHeight="false" outlineLevel="0" collapsed="false">
      <c r="A174" s="2" t="n">
        <v>43769</v>
      </c>
      <c r="B174" s="0" t="n">
        <v>3.295</v>
      </c>
      <c r="C174" s="0" t="n">
        <f aca="false">(B175-B173)/(A175-A173)</f>
        <v>1.26582278480999E-005</v>
      </c>
      <c r="D174" s="6" t="n">
        <f aca="false">C174</f>
        <v>1.26582278480999E-005</v>
      </c>
    </row>
    <row r="175" customFormat="false" ht="12.5" hidden="false" customHeight="false" outlineLevel="0" collapsed="false">
      <c r="A175" s="2" t="n">
        <v>43820</v>
      </c>
      <c r="B175" s="0" t="n">
        <v>3.299</v>
      </c>
      <c r="C175" s="0" t="n">
        <f aca="false">(B176-B174)/(A176-A174)</f>
        <v>-4.61538461538479E-005</v>
      </c>
      <c r="D175" s="6" t="n">
        <f aca="false">C175</f>
        <v>-4.61538461538479E-005</v>
      </c>
    </row>
    <row r="176" customFormat="false" ht="12.5" hidden="false" customHeight="false" outlineLevel="0" collapsed="false">
      <c r="A176" s="2" t="n">
        <v>43834</v>
      </c>
      <c r="B176" s="0" t="n">
        <v>3.292</v>
      </c>
      <c r="C176" s="0" t="n">
        <f aca="false">(B177-B175)/(A177-A175)</f>
        <v>-0.000166666666666661</v>
      </c>
      <c r="D176" s="6" t="n">
        <f aca="false">C176</f>
        <v>-0.000166666666666661</v>
      </c>
    </row>
    <row r="177" customFormat="false" ht="12.5" hidden="false" customHeight="false" outlineLevel="0" collapsed="false">
      <c r="A177" s="2" t="n">
        <v>43856</v>
      </c>
      <c r="B177" s="0" t="n">
        <v>3.293</v>
      </c>
      <c r="C177" s="0" t="n">
        <f aca="false">(B178-B176)/(A178-A176)</f>
        <v>0.000142857142857148</v>
      </c>
      <c r="D177" s="6" t="n">
        <f aca="false">C177</f>
        <v>0.000142857142857148</v>
      </c>
    </row>
    <row r="178" customFormat="false" ht="12.5" hidden="false" customHeight="false" outlineLevel="0" collapsed="false">
      <c r="A178" s="2" t="n">
        <v>43876</v>
      </c>
      <c r="B178" s="0" t="n">
        <v>3.298</v>
      </c>
      <c r="C178" s="0" t="n">
        <f aca="false">(B179-B177)/(A179-A177)</f>
        <v>0.000264705882352938</v>
      </c>
      <c r="D178" s="6" t="n">
        <f aca="false">C178</f>
        <v>0.000264705882352938</v>
      </c>
    </row>
    <row r="179" customFormat="false" ht="12.5" hidden="false" customHeight="false" outlineLevel="0" collapsed="false">
      <c r="A179" s="2" t="n">
        <v>43890</v>
      </c>
      <c r="B179" s="0" t="n">
        <v>3.302</v>
      </c>
      <c r="C179" s="0" t="n">
        <f aca="false">(B180-B178)/(A180-A178)</f>
        <v>0.00020689655172413</v>
      </c>
      <c r="D179" s="6" t="n">
        <f aca="false">C179</f>
        <v>0.00020689655172413</v>
      </c>
    </row>
    <row r="180" customFormat="false" ht="13" hidden="false" customHeight="false" outlineLevel="0" collapsed="false">
      <c r="A180" s="2" t="n">
        <v>43905</v>
      </c>
      <c r="B180" s="0" t="n">
        <v>3.304</v>
      </c>
    </row>
    <row r="181" customFormat="false" ht="13.5" hidden="false" customHeight="false" outlineLevel="0" collapsed="false">
      <c r="C181" s="7" t="s">
        <v>6</v>
      </c>
      <c r="D181" s="8" t="n">
        <f aca="false">AVERAGE(D2:D180)</f>
        <v>0.000386432705196004</v>
      </c>
      <c r="E181" s="0" t="n">
        <f aca="false">D181*1000</f>
        <v>0.386432705196004</v>
      </c>
    </row>
    <row r="182" customFormat="false" ht="12.5" hidden="false" customHeight="false" outlineLevel="0" collapsed="false">
      <c r="C182" s="7" t="s">
        <v>7</v>
      </c>
      <c r="D182" s="9" t="n">
        <f aca="false">STDEV(D2:D179)</f>
        <v>0.00105191350600104</v>
      </c>
    </row>
    <row r="183" customFormat="false" ht="12.5" hidden="false" customHeight="false" outlineLevel="0" collapsed="false">
      <c r="D183" s="9"/>
    </row>
    <row r="184" customFormat="false" ht="12.5" hidden="false" customHeight="false" outlineLevel="0" collapsed="false">
      <c r="C184" s="10" t="s">
        <v>8</v>
      </c>
      <c r="D184" s="9" t="n">
        <f aca="false">D181-2*D182/SQRT(178)</f>
        <v>0.0002287442038299</v>
      </c>
      <c r="E184" s="0" t="n">
        <f aca="false">D184*1000</f>
        <v>0.2287442038299</v>
      </c>
    </row>
    <row r="185" customFormat="false" ht="12.5" hidden="false" customHeight="false" outlineLevel="0" collapsed="false">
      <c r="C185" s="10"/>
      <c r="D185" s="9" t="n">
        <f aca="false">D181+2*D182/SQRT(178)</f>
        <v>0.000544121206562107</v>
      </c>
      <c r="E185" s="0" t="n">
        <f aca="false">D185*1000</f>
        <v>0.544121206562107</v>
      </c>
    </row>
    <row r="187" customFormat="false" ht="12.5" hidden="false" customHeight="false" outlineLevel="0" collapsed="false">
      <c r="C187" s="11" t="s">
        <v>9</v>
      </c>
      <c r="D187" s="9" t="n">
        <f aca="false">MAX(D2:D179)</f>
        <v>0.00979999999999999</v>
      </c>
      <c r="E187" s="0" t="n">
        <f aca="false">D187*1000</f>
        <v>9.79999999999999</v>
      </c>
    </row>
    <row r="188" customFormat="false" ht="12.5" hidden="false" customHeight="false" outlineLevel="0" collapsed="false">
      <c r="C188" s="11" t="s">
        <v>10</v>
      </c>
      <c r="D188" s="9" t="n">
        <f aca="false">MIN(D2:D179)</f>
        <v>-0.00293333333333334</v>
      </c>
      <c r="E188" s="0" t="n">
        <f aca="false">D188*1000</f>
        <v>-2.93333333333334</v>
      </c>
    </row>
  </sheetData>
  <mergeCells count="1">
    <mergeCell ref="C184:C185"/>
  </mergeCells>
  <conditionalFormatting sqref="D1:D104857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true" showOutlineSymbols="true" defaultGridColor="true" view="normal" topLeftCell="A137" colorId="64" zoomScale="100" zoomScaleNormal="100" zoomScalePageLayoutView="100" workbookViewId="0">
      <selection pane="topLeft" activeCell="B1" activeCellId="0" sqref="B1"/>
    </sheetView>
  </sheetViews>
  <sheetFormatPr defaultColWidth="10.6875" defaultRowHeight="12.5" zeroHeight="false" outlineLevelRow="0" outlineLevelCol="0"/>
  <sheetData>
    <row r="1" customFormat="false" ht="12.5" hidden="false" customHeight="false" outlineLevel="0" collapsed="false">
      <c r="A1" s="0" t="s">
        <v>11</v>
      </c>
      <c r="B1" s="0" t="s">
        <v>12</v>
      </c>
    </row>
    <row r="2" customFormat="false" ht="12.8" hidden="false" customHeight="false" outlineLevel="0" collapsed="false">
      <c r="A2" s="2" t="n">
        <v>40517</v>
      </c>
      <c r="B2" s="0" t="n">
        <v>2.376</v>
      </c>
    </row>
    <row r="3" customFormat="false" ht="12.8" hidden="false" customHeight="false" outlineLevel="0" collapsed="false">
      <c r="A3" s="2" t="n">
        <v>40541</v>
      </c>
      <c r="B3" s="0" t="n">
        <v>2.364</v>
      </c>
    </row>
    <row r="4" customFormat="false" ht="12.8" hidden="false" customHeight="false" outlineLevel="0" collapsed="false">
      <c r="A4" s="2" t="n">
        <v>40698</v>
      </c>
      <c r="B4" s="0" t="n">
        <v>2.432</v>
      </c>
    </row>
    <row r="5" customFormat="false" ht="12.8" hidden="false" customHeight="false" outlineLevel="0" collapsed="false">
      <c r="A5" s="2" t="n">
        <v>40720</v>
      </c>
      <c r="B5" s="0" t="n">
        <v>2.428</v>
      </c>
    </row>
    <row r="6" customFormat="false" ht="12.8" hidden="false" customHeight="false" outlineLevel="0" collapsed="false">
      <c r="A6" s="2" t="n">
        <v>40721</v>
      </c>
      <c r="B6" s="0" t="n">
        <v>2.47</v>
      </c>
    </row>
    <row r="7" customFormat="false" ht="12.8" hidden="false" customHeight="false" outlineLevel="0" collapsed="false">
      <c r="A7" s="2" t="n">
        <v>40803</v>
      </c>
      <c r="B7" s="0" t="n">
        <v>2.412</v>
      </c>
    </row>
    <row r="8" customFormat="false" ht="12.8" hidden="false" customHeight="false" outlineLevel="0" collapsed="false">
      <c r="A8" s="2" t="n">
        <v>41063</v>
      </c>
      <c r="B8" s="0" t="n">
        <v>2.508</v>
      </c>
    </row>
    <row r="9" customFormat="false" ht="12.8" hidden="false" customHeight="false" outlineLevel="0" collapsed="false">
      <c r="A9" s="2" t="n">
        <v>41070</v>
      </c>
      <c r="B9" s="0" t="n">
        <v>2.476</v>
      </c>
    </row>
    <row r="10" customFormat="false" ht="12.8" hidden="false" customHeight="false" outlineLevel="0" collapsed="false">
      <c r="A10" s="2" t="n">
        <v>41078</v>
      </c>
      <c r="B10" s="0" t="n">
        <v>2.464</v>
      </c>
    </row>
    <row r="11" customFormat="false" ht="12.8" hidden="false" customHeight="false" outlineLevel="0" collapsed="false">
      <c r="A11" s="2" t="n">
        <v>41104</v>
      </c>
      <c r="B11" s="0" t="n">
        <v>2.496</v>
      </c>
    </row>
    <row r="12" customFormat="false" ht="12.8" hidden="false" customHeight="false" outlineLevel="0" collapsed="false">
      <c r="A12" s="2" t="n">
        <v>41127</v>
      </c>
      <c r="B12" s="0" t="n">
        <v>2.494</v>
      </c>
    </row>
    <row r="13" customFormat="false" ht="12.8" hidden="false" customHeight="false" outlineLevel="0" collapsed="false">
      <c r="A13" s="2" t="n">
        <v>41132</v>
      </c>
      <c r="B13" s="0" t="n">
        <v>2.538</v>
      </c>
    </row>
    <row r="14" customFormat="false" ht="12.8" hidden="false" customHeight="false" outlineLevel="0" collapsed="false">
      <c r="A14" s="2" t="n">
        <v>41132</v>
      </c>
      <c r="B14" s="0" t="n">
        <v>2.543</v>
      </c>
    </row>
    <row r="15" customFormat="false" ht="12.8" hidden="false" customHeight="false" outlineLevel="0" collapsed="false">
      <c r="A15" s="2" t="n">
        <v>41156</v>
      </c>
      <c r="B15" s="0" t="n">
        <v>2.535</v>
      </c>
    </row>
    <row r="16" customFormat="false" ht="12.8" hidden="false" customHeight="false" outlineLevel="0" collapsed="false">
      <c r="A16" s="2" t="n">
        <v>41185</v>
      </c>
      <c r="B16" s="0" t="n">
        <v>2.519</v>
      </c>
    </row>
    <row r="17" customFormat="false" ht="12.8" hidden="false" customHeight="false" outlineLevel="0" collapsed="false">
      <c r="A17" s="2" t="n">
        <v>41209</v>
      </c>
      <c r="B17" s="0" t="n">
        <v>2.509</v>
      </c>
    </row>
    <row r="18" customFormat="false" ht="12.8" hidden="false" customHeight="false" outlineLevel="0" collapsed="false">
      <c r="A18" s="2" t="n">
        <v>41216</v>
      </c>
      <c r="B18" s="0" t="n">
        <v>2.515</v>
      </c>
    </row>
    <row r="19" customFormat="false" ht="12.8" hidden="false" customHeight="false" outlineLevel="0" collapsed="false">
      <c r="A19" s="2" t="n">
        <v>41227</v>
      </c>
      <c r="B19" s="0" t="n">
        <v>2.52</v>
      </c>
    </row>
    <row r="20" customFormat="false" ht="12.8" hidden="false" customHeight="false" outlineLevel="0" collapsed="false">
      <c r="A20" s="2" t="n">
        <v>41254</v>
      </c>
      <c r="B20" s="0" t="n">
        <v>2.507</v>
      </c>
    </row>
    <row r="21" customFormat="false" ht="12.8" hidden="false" customHeight="false" outlineLevel="0" collapsed="false">
      <c r="A21" s="2" t="n">
        <v>41284</v>
      </c>
      <c r="B21" s="0" t="n">
        <v>2.51</v>
      </c>
    </row>
    <row r="22" customFormat="false" ht="12.8" hidden="false" customHeight="false" outlineLevel="0" collapsed="false">
      <c r="A22" s="2" t="n">
        <v>41306</v>
      </c>
      <c r="B22" s="0" t="n">
        <v>2.525</v>
      </c>
    </row>
    <row r="23" customFormat="false" ht="12.8" hidden="false" customHeight="false" outlineLevel="0" collapsed="false">
      <c r="A23" s="2" t="n">
        <v>41322</v>
      </c>
      <c r="B23" s="0" t="n">
        <v>2.517</v>
      </c>
    </row>
    <row r="24" customFormat="false" ht="12.8" hidden="false" customHeight="false" outlineLevel="0" collapsed="false">
      <c r="A24" s="2" t="n">
        <v>41357</v>
      </c>
      <c r="B24" s="0" t="n">
        <v>2.52</v>
      </c>
    </row>
    <row r="25" customFormat="false" ht="12.8" hidden="false" customHeight="false" outlineLevel="0" collapsed="false">
      <c r="A25" s="2" t="n">
        <v>41388</v>
      </c>
      <c r="B25" s="0" t="n">
        <v>2.543</v>
      </c>
    </row>
    <row r="26" customFormat="false" ht="12.8" hidden="false" customHeight="false" outlineLevel="0" collapsed="false">
      <c r="A26" s="2" t="n">
        <v>41425</v>
      </c>
      <c r="B26" s="0" t="n">
        <v>2.567</v>
      </c>
    </row>
    <row r="27" customFormat="false" ht="12.8" hidden="false" customHeight="false" outlineLevel="0" collapsed="false">
      <c r="A27" s="2" t="n">
        <v>41441</v>
      </c>
      <c r="B27" s="0" t="n">
        <v>2.578</v>
      </c>
    </row>
    <row r="28" customFormat="false" ht="12.8" hidden="false" customHeight="false" outlineLevel="0" collapsed="false">
      <c r="A28" s="2" t="n">
        <v>41455</v>
      </c>
      <c r="B28" s="0" t="n">
        <v>2.575</v>
      </c>
    </row>
    <row r="29" customFormat="false" ht="12.8" hidden="false" customHeight="false" outlineLevel="0" collapsed="false">
      <c r="A29" s="2" t="n">
        <v>41471</v>
      </c>
      <c r="B29" s="0" t="n">
        <v>2.597</v>
      </c>
    </row>
    <row r="30" customFormat="false" ht="12.8" hidden="false" customHeight="false" outlineLevel="0" collapsed="false">
      <c r="A30" s="2" t="n">
        <v>41506</v>
      </c>
      <c r="B30" s="0" t="n">
        <v>2.597</v>
      </c>
    </row>
    <row r="31" customFormat="false" ht="12.8" hidden="false" customHeight="false" outlineLevel="0" collapsed="false">
      <c r="A31" s="2" t="n">
        <v>41522</v>
      </c>
      <c r="B31" s="0" t="n">
        <v>2.612</v>
      </c>
    </row>
    <row r="32" customFormat="false" ht="12.8" hidden="false" customHeight="false" outlineLevel="0" collapsed="false">
      <c r="A32" s="2" t="n">
        <v>41542</v>
      </c>
      <c r="B32" s="0" t="n">
        <v>2.59</v>
      </c>
    </row>
    <row r="33" customFormat="false" ht="12.8" hidden="false" customHeight="false" outlineLevel="0" collapsed="false">
      <c r="A33" s="2" t="n">
        <v>41563</v>
      </c>
      <c r="B33" s="0" t="n">
        <v>2.568</v>
      </c>
    </row>
    <row r="34" customFormat="false" ht="12.8" hidden="false" customHeight="false" outlineLevel="0" collapsed="false">
      <c r="A34" s="2" t="n">
        <v>41584</v>
      </c>
      <c r="B34" s="0" t="n">
        <v>2.576</v>
      </c>
    </row>
    <row r="35" customFormat="false" ht="12.8" hidden="false" customHeight="false" outlineLevel="0" collapsed="false">
      <c r="A35" s="2" t="n">
        <v>41624</v>
      </c>
      <c r="B35" s="0" t="n">
        <v>2.578</v>
      </c>
    </row>
    <row r="36" customFormat="false" ht="12.8" hidden="false" customHeight="false" outlineLevel="0" collapsed="false">
      <c r="A36" s="2" t="n">
        <v>41645</v>
      </c>
      <c r="B36" s="0" t="n">
        <v>2.578</v>
      </c>
    </row>
    <row r="37" customFormat="false" ht="12.8" hidden="false" customHeight="false" outlineLevel="0" collapsed="false">
      <c r="A37" s="2" t="n">
        <v>41655</v>
      </c>
      <c r="B37" s="0" t="n">
        <v>2.575</v>
      </c>
    </row>
    <row r="38" customFormat="false" ht="12.8" hidden="false" customHeight="false" outlineLevel="0" collapsed="false">
      <c r="A38" s="2" t="n">
        <v>41674</v>
      </c>
      <c r="B38" s="0" t="n">
        <v>2.578</v>
      </c>
    </row>
    <row r="39" customFormat="false" ht="12.8" hidden="false" customHeight="false" outlineLevel="0" collapsed="false">
      <c r="A39" s="2" t="n">
        <v>41687</v>
      </c>
      <c r="B39" s="0" t="n">
        <v>2.579</v>
      </c>
    </row>
    <row r="40" customFormat="false" ht="12.8" hidden="false" customHeight="false" outlineLevel="0" collapsed="false">
      <c r="A40" s="2" t="n">
        <v>41700</v>
      </c>
      <c r="B40" s="0" t="n">
        <v>2.578</v>
      </c>
    </row>
    <row r="41" customFormat="false" ht="12.8" hidden="false" customHeight="false" outlineLevel="0" collapsed="false">
      <c r="A41" s="2" t="n">
        <v>41717</v>
      </c>
      <c r="B41" s="0" t="n">
        <v>2.581</v>
      </c>
    </row>
    <row r="42" customFormat="false" ht="12.8" hidden="false" customHeight="false" outlineLevel="0" collapsed="false">
      <c r="A42" s="2" t="n">
        <v>41733</v>
      </c>
      <c r="B42" s="0" t="n">
        <v>2.6</v>
      </c>
    </row>
    <row r="43" customFormat="false" ht="12.8" hidden="false" customHeight="false" outlineLevel="0" collapsed="false">
      <c r="A43" s="2" t="n">
        <v>41754</v>
      </c>
      <c r="B43" s="0" t="n">
        <v>2.598</v>
      </c>
    </row>
    <row r="44" customFormat="false" ht="12.8" hidden="false" customHeight="false" outlineLevel="0" collapsed="false">
      <c r="A44" s="2" t="n">
        <v>41761</v>
      </c>
      <c r="B44" s="0" t="n">
        <v>2.595</v>
      </c>
    </row>
    <row r="45" customFormat="false" ht="12.8" hidden="false" customHeight="false" outlineLevel="0" collapsed="false">
      <c r="A45" s="2" t="n">
        <v>41776</v>
      </c>
      <c r="B45" s="0" t="n">
        <v>2.619</v>
      </c>
    </row>
    <row r="46" customFormat="false" ht="12.8" hidden="false" customHeight="false" outlineLevel="0" collapsed="false">
      <c r="A46" s="2" t="n">
        <v>41799</v>
      </c>
      <c r="B46" s="0" t="n">
        <v>2.616</v>
      </c>
    </row>
    <row r="47" customFormat="false" ht="12.8" hidden="false" customHeight="false" outlineLevel="0" collapsed="false">
      <c r="A47" s="2" t="n">
        <v>41822</v>
      </c>
      <c r="B47" s="0" t="n">
        <v>2.623</v>
      </c>
    </row>
    <row r="48" customFormat="false" ht="12.8" hidden="false" customHeight="false" outlineLevel="0" collapsed="false">
      <c r="A48" s="2" t="n">
        <v>41838</v>
      </c>
      <c r="B48" s="0" t="n">
        <v>2.659</v>
      </c>
    </row>
    <row r="49" customFormat="false" ht="12.8" hidden="false" customHeight="false" outlineLevel="0" collapsed="false">
      <c r="A49" s="2" t="n">
        <v>41854</v>
      </c>
      <c r="B49" s="0" t="n">
        <v>2.63</v>
      </c>
    </row>
    <row r="50" customFormat="false" ht="12.8" hidden="false" customHeight="false" outlineLevel="0" collapsed="false">
      <c r="A50" s="2" t="n">
        <v>41948</v>
      </c>
      <c r="B50" s="0" t="n">
        <v>2.63</v>
      </c>
    </row>
    <row r="51" customFormat="false" ht="12.8" hidden="false" customHeight="false" outlineLevel="0" collapsed="false">
      <c r="A51" s="2" t="n">
        <v>42003</v>
      </c>
      <c r="B51" s="0" t="n">
        <v>2.612</v>
      </c>
    </row>
    <row r="52" customFormat="false" ht="12.8" hidden="false" customHeight="false" outlineLevel="0" collapsed="false">
      <c r="A52" s="2" t="n">
        <v>42035</v>
      </c>
      <c r="B52" s="0" t="n">
        <v>2.619</v>
      </c>
    </row>
    <row r="53" customFormat="false" ht="12.8" hidden="false" customHeight="false" outlineLevel="0" collapsed="false">
      <c r="A53" s="2" t="n">
        <v>42064</v>
      </c>
      <c r="B53" s="0" t="n">
        <v>2.638</v>
      </c>
    </row>
    <row r="54" customFormat="false" ht="12.8" hidden="false" customHeight="false" outlineLevel="0" collapsed="false">
      <c r="A54" s="2" t="n">
        <v>42109</v>
      </c>
      <c r="B54" s="0" t="n">
        <v>2.691</v>
      </c>
    </row>
    <row r="55" customFormat="false" ht="12.8" hidden="false" customHeight="false" outlineLevel="0" collapsed="false">
      <c r="A55" s="2" t="n">
        <v>42146</v>
      </c>
      <c r="B55" s="0" t="n">
        <v>2.687</v>
      </c>
    </row>
    <row r="56" customFormat="false" ht="12.8" hidden="false" customHeight="false" outlineLevel="0" collapsed="false">
      <c r="A56" s="2" t="n">
        <v>42165</v>
      </c>
      <c r="B56" s="0" t="n">
        <v>2.702</v>
      </c>
    </row>
    <row r="57" customFormat="false" ht="12.8" hidden="false" customHeight="false" outlineLevel="0" collapsed="false">
      <c r="A57" s="2" t="n">
        <v>42188</v>
      </c>
      <c r="B57" s="0" t="n">
        <v>2.735</v>
      </c>
    </row>
    <row r="58" customFormat="false" ht="12.8" hidden="false" customHeight="false" outlineLevel="0" collapsed="false">
      <c r="A58" s="2" t="n">
        <v>42217</v>
      </c>
      <c r="B58" s="0" t="n">
        <v>2.739</v>
      </c>
    </row>
    <row r="59" customFormat="false" ht="12.8" hidden="false" customHeight="false" outlineLevel="0" collapsed="false">
      <c r="A59" s="2" t="n">
        <v>42231</v>
      </c>
      <c r="B59" s="0" t="n">
        <v>2.745</v>
      </c>
    </row>
    <row r="60" customFormat="false" ht="12.8" hidden="false" customHeight="false" outlineLevel="0" collapsed="false">
      <c r="A60" s="2" t="n">
        <v>42250</v>
      </c>
      <c r="B60" s="0" t="n">
        <v>2.751</v>
      </c>
    </row>
    <row r="61" customFormat="false" ht="12.8" hidden="false" customHeight="false" outlineLevel="0" collapsed="false">
      <c r="A61" s="2" t="n">
        <v>42279</v>
      </c>
      <c r="B61" s="0" t="n">
        <v>2.764</v>
      </c>
    </row>
    <row r="62" customFormat="false" ht="12.8" hidden="false" customHeight="false" outlineLevel="0" collapsed="false">
      <c r="A62" s="2" t="n">
        <v>42369</v>
      </c>
      <c r="B62" s="0" t="n">
        <v>2.768</v>
      </c>
    </row>
    <row r="63" customFormat="false" ht="12.8" hidden="false" customHeight="false" outlineLevel="0" collapsed="false">
      <c r="A63" s="2" t="n">
        <v>42393</v>
      </c>
      <c r="B63" s="0" t="n">
        <v>2.773</v>
      </c>
    </row>
    <row r="64" customFormat="false" ht="12.8" hidden="false" customHeight="false" outlineLevel="0" collapsed="false">
      <c r="A64" s="2" t="n">
        <v>42431</v>
      </c>
      <c r="B64" s="0" t="n">
        <v>2.781</v>
      </c>
    </row>
    <row r="65" customFormat="false" ht="12.8" hidden="false" customHeight="false" outlineLevel="0" collapsed="false">
      <c r="A65" s="2" t="n">
        <v>42468</v>
      </c>
      <c r="B65" s="0" t="n">
        <v>2.806</v>
      </c>
    </row>
    <row r="66" customFormat="false" ht="12.8" hidden="false" customHeight="false" outlineLevel="0" collapsed="false">
      <c r="A66" s="3" t="n">
        <v>42473</v>
      </c>
      <c r="B66" s="4" t="n">
        <v>2.831</v>
      </c>
    </row>
    <row r="67" customFormat="false" ht="12.8" hidden="false" customHeight="false" outlineLevel="0" collapsed="false">
      <c r="A67" s="2" t="n">
        <v>42477</v>
      </c>
      <c r="B67" s="0" t="n">
        <v>2.815</v>
      </c>
    </row>
    <row r="68" customFormat="false" ht="12.8" hidden="false" customHeight="false" outlineLevel="0" collapsed="false">
      <c r="A68" s="2" t="n">
        <v>42496</v>
      </c>
      <c r="B68" s="0" t="n">
        <v>2.867</v>
      </c>
    </row>
    <row r="69" customFormat="false" ht="12.8" hidden="false" customHeight="false" outlineLevel="0" collapsed="false">
      <c r="A69" s="2" t="n">
        <v>42499</v>
      </c>
      <c r="B69" s="0" t="n">
        <v>2.869</v>
      </c>
    </row>
    <row r="70" customFormat="false" ht="12.8" hidden="false" customHeight="false" outlineLevel="0" collapsed="false">
      <c r="A70" s="2" t="n">
        <v>42525</v>
      </c>
      <c r="B70" s="0" t="n">
        <v>2.859</v>
      </c>
    </row>
    <row r="71" customFormat="false" ht="12.8" hidden="false" customHeight="false" outlineLevel="0" collapsed="false">
      <c r="A71" s="2" t="n">
        <v>42534</v>
      </c>
      <c r="B71" s="0" t="n">
        <v>2.871</v>
      </c>
    </row>
    <row r="72" customFormat="false" ht="12.8" hidden="false" customHeight="false" outlineLevel="0" collapsed="false">
      <c r="A72" s="2" t="n">
        <v>42553</v>
      </c>
      <c r="B72" s="0" t="n">
        <v>2.875</v>
      </c>
    </row>
    <row r="73" customFormat="false" ht="12.8" hidden="false" customHeight="false" outlineLevel="0" collapsed="false">
      <c r="A73" s="2" t="n">
        <v>42563</v>
      </c>
      <c r="B73" s="0" t="n">
        <v>2.897</v>
      </c>
    </row>
    <row r="74" customFormat="false" ht="12.8" hidden="false" customHeight="false" outlineLevel="0" collapsed="false">
      <c r="A74" s="2" t="n">
        <v>42571</v>
      </c>
      <c r="B74" s="0" t="n">
        <v>2.932</v>
      </c>
    </row>
    <row r="75" customFormat="false" ht="12.8" hidden="false" customHeight="false" outlineLevel="0" collapsed="false">
      <c r="A75" s="2" t="n">
        <v>42581</v>
      </c>
      <c r="B75" s="0" t="n">
        <v>2.907</v>
      </c>
    </row>
    <row r="76" customFormat="false" ht="12.8" hidden="false" customHeight="false" outlineLevel="0" collapsed="false">
      <c r="A76" s="2" t="n">
        <v>42592</v>
      </c>
      <c r="B76" s="0" t="n">
        <v>2.917</v>
      </c>
    </row>
    <row r="77" customFormat="false" ht="12.8" hidden="false" customHeight="false" outlineLevel="0" collapsed="false">
      <c r="A77" s="2" t="n">
        <v>42602</v>
      </c>
      <c r="B77" s="0" t="n">
        <v>2.915</v>
      </c>
    </row>
    <row r="78" customFormat="false" ht="12.8" hidden="false" customHeight="false" outlineLevel="0" collapsed="false">
      <c r="A78" s="2" t="n">
        <v>42612</v>
      </c>
      <c r="B78" s="0" t="n">
        <v>2.923</v>
      </c>
    </row>
    <row r="79" customFormat="false" ht="12.8" hidden="false" customHeight="false" outlineLevel="0" collapsed="false">
      <c r="A79" s="2" t="n">
        <v>42623</v>
      </c>
      <c r="B79" s="0" t="n">
        <v>2.946</v>
      </c>
    </row>
    <row r="80" customFormat="false" ht="12.8" hidden="false" customHeight="false" outlineLevel="0" collapsed="false">
      <c r="A80" s="2" t="n">
        <v>42635</v>
      </c>
      <c r="B80" s="0" t="n">
        <v>2.937</v>
      </c>
    </row>
    <row r="81" customFormat="false" ht="12.8" hidden="false" customHeight="false" outlineLevel="0" collapsed="false">
      <c r="A81" s="2" t="n">
        <v>42643</v>
      </c>
      <c r="B81" s="0" t="n">
        <v>2.943</v>
      </c>
    </row>
    <row r="82" customFormat="false" ht="12.8" hidden="false" customHeight="false" outlineLevel="0" collapsed="false">
      <c r="A82" s="2" t="n">
        <v>42654</v>
      </c>
      <c r="B82" s="0" t="n">
        <v>2.943</v>
      </c>
    </row>
    <row r="83" customFormat="false" ht="12.8" hidden="false" customHeight="false" outlineLevel="0" collapsed="false">
      <c r="A83" s="2" t="n">
        <v>42663</v>
      </c>
      <c r="B83" s="0" t="n">
        <v>2.941</v>
      </c>
    </row>
    <row r="84" customFormat="false" ht="12.8" hidden="false" customHeight="false" outlineLevel="0" collapsed="false">
      <c r="A84" s="2" t="n">
        <v>42677</v>
      </c>
      <c r="B84" s="0" t="n">
        <v>2.934</v>
      </c>
    </row>
    <row r="85" customFormat="false" ht="12.8" hidden="false" customHeight="false" outlineLevel="0" collapsed="false">
      <c r="A85" s="2" t="n">
        <v>42686</v>
      </c>
      <c r="B85" s="0" t="n">
        <v>2.939</v>
      </c>
    </row>
    <row r="86" customFormat="false" ht="12.8" hidden="false" customHeight="false" outlineLevel="0" collapsed="false">
      <c r="A86" s="2" t="n">
        <v>42694</v>
      </c>
      <c r="B86" s="0" t="n">
        <v>2.957</v>
      </c>
    </row>
    <row r="87" customFormat="false" ht="12.8" hidden="false" customHeight="false" outlineLevel="0" collapsed="false">
      <c r="A87" s="2" t="n">
        <v>42708</v>
      </c>
      <c r="B87" s="0" t="n">
        <v>2.935</v>
      </c>
    </row>
    <row r="88" customFormat="false" ht="12.8" hidden="false" customHeight="false" outlineLevel="0" collapsed="false">
      <c r="A88" s="5" t="n">
        <v>42721</v>
      </c>
      <c r="B88" s="0" t="n">
        <v>2.947</v>
      </c>
    </row>
    <row r="89" customFormat="false" ht="12.8" hidden="false" customHeight="false" outlineLevel="0" collapsed="false">
      <c r="A89" s="2" t="n">
        <v>42732</v>
      </c>
      <c r="B89" s="0" t="n">
        <v>2.952</v>
      </c>
    </row>
    <row r="90" customFormat="false" ht="12.8" hidden="false" customHeight="false" outlineLevel="0" collapsed="false">
      <c r="A90" s="5" t="n">
        <v>42749</v>
      </c>
      <c r="B90" s="0" t="n">
        <v>2.962</v>
      </c>
    </row>
    <row r="91" customFormat="false" ht="12.8" hidden="false" customHeight="false" outlineLevel="0" collapsed="false">
      <c r="A91" s="2" t="n">
        <v>42773</v>
      </c>
      <c r="B91" s="0" t="n">
        <v>2.981</v>
      </c>
    </row>
    <row r="92" customFormat="false" ht="12.8" hidden="false" customHeight="false" outlineLevel="0" collapsed="false">
      <c r="A92" s="2" t="n">
        <v>42786</v>
      </c>
      <c r="B92" s="0" t="n">
        <v>2.986</v>
      </c>
    </row>
    <row r="93" customFormat="false" ht="12.8" hidden="false" customHeight="false" outlineLevel="0" collapsed="false">
      <c r="A93" s="2" t="n">
        <v>42797</v>
      </c>
      <c r="B93" s="0" t="n">
        <v>2.992</v>
      </c>
    </row>
    <row r="94" customFormat="false" ht="12.8" hidden="false" customHeight="false" outlineLevel="0" collapsed="false">
      <c r="A94" s="2" t="n">
        <v>42806</v>
      </c>
      <c r="B94" s="0" t="n">
        <v>3</v>
      </c>
    </row>
    <row r="95" customFormat="false" ht="12.8" hidden="false" customHeight="false" outlineLevel="0" collapsed="false">
      <c r="A95" s="2" t="n">
        <v>42819</v>
      </c>
      <c r="B95" s="0" t="n">
        <v>3.019</v>
      </c>
    </row>
    <row r="96" customFormat="false" ht="12.8" hidden="false" customHeight="false" outlineLevel="0" collapsed="false">
      <c r="A96" s="2" t="n">
        <v>42831</v>
      </c>
      <c r="B96" s="0" t="n">
        <v>3.026</v>
      </c>
    </row>
    <row r="97" customFormat="false" ht="12.8" hidden="false" customHeight="false" outlineLevel="0" collapsed="false">
      <c r="A97" s="2" t="n">
        <v>42836</v>
      </c>
      <c r="B97" s="0" t="n">
        <v>3.045</v>
      </c>
    </row>
    <row r="98" customFormat="false" ht="12.8" hidden="false" customHeight="false" outlineLevel="0" collapsed="false">
      <c r="A98" s="2" t="n">
        <v>42845</v>
      </c>
      <c r="B98" s="0" t="n">
        <v>3.02</v>
      </c>
    </row>
    <row r="99" customFormat="false" ht="12.8" hidden="false" customHeight="false" outlineLevel="0" collapsed="false">
      <c r="A99" s="2" t="n">
        <v>42856</v>
      </c>
      <c r="B99" s="0" t="n">
        <v>3.02</v>
      </c>
    </row>
    <row r="100" customFormat="false" ht="12.8" hidden="false" customHeight="false" outlineLevel="0" collapsed="false">
      <c r="A100" s="2" t="n">
        <v>42865</v>
      </c>
      <c r="B100" s="0" t="n">
        <v>3.05</v>
      </c>
    </row>
    <row r="101" customFormat="false" ht="12.8" hidden="false" customHeight="false" outlineLevel="0" collapsed="false">
      <c r="A101" s="2" t="n">
        <v>42875</v>
      </c>
      <c r="B101" s="0" t="n">
        <v>3.047</v>
      </c>
    </row>
    <row r="102" customFormat="false" ht="12.8" hidden="false" customHeight="false" outlineLevel="0" collapsed="false">
      <c r="A102" s="2" t="n">
        <v>42888</v>
      </c>
      <c r="B102" s="0" t="n">
        <v>3.061</v>
      </c>
    </row>
    <row r="103" customFormat="false" ht="12.8" hidden="false" customHeight="false" outlineLevel="0" collapsed="false">
      <c r="A103" s="2" t="n">
        <v>42896</v>
      </c>
      <c r="B103" s="0" t="n">
        <v>3.074</v>
      </c>
    </row>
    <row r="104" customFormat="false" ht="12.8" hidden="false" customHeight="false" outlineLevel="0" collapsed="false">
      <c r="A104" s="2" t="n">
        <v>42906</v>
      </c>
      <c r="B104" s="0" t="n">
        <v>3.071</v>
      </c>
    </row>
    <row r="105" customFormat="false" ht="12.8" hidden="false" customHeight="false" outlineLevel="0" collapsed="false">
      <c r="A105" s="2" t="n">
        <v>42917</v>
      </c>
      <c r="B105" s="0" t="n">
        <v>3.052</v>
      </c>
    </row>
    <row r="106" customFormat="false" ht="12.8" hidden="false" customHeight="false" outlineLevel="0" collapsed="false">
      <c r="A106" s="2" t="n">
        <v>42926</v>
      </c>
      <c r="B106" s="0" t="n">
        <v>3.08</v>
      </c>
    </row>
    <row r="107" customFormat="false" ht="12.8" hidden="false" customHeight="false" outlineLevel="0" collapsed="false">
      <c r="A107" s="2" t="n">
        <v>42936</v>
      </c>
      <c r="B107" s="0" t="n">
        <v>3.079</v>
      </c>
    </row>
    <row r="108" customFormat="false" ht="12.8" hidden="false" customHeight="false" outlineLevel="0" collapsed="false">
      <c r="A108" s="2" t="n">
        <v>42948</v>
      </c>
      <c r="B108" s="0" t="n">
        <v>3.074</v>
      </c>
    </row>
    <row r="109" customFormat="false" ht="12.8" hidden="false" customHeight="false" outlineLevel="0" collapsed="false">
      <c r="A109" s="2" t="n">
        <v>42964</v>
      </c>
      <c r="B109" s="0" t="n">
        <v>3.091</v>
      </c>
    </row>
    <row r="110" customFormat="false" ht="12.8" hidden="false" customHeight="false" outlineLevel="0" collapsed="false">
      <c r="A110" s="2" t="n">
        <v>42968</v>
      </c>
      <c r="B110" s="0" t="n">
        <v>3.089</v>
      </c>
    </row>
    <row r="111" customFormat="false" ht="12.8" hidden="false" customHeight="false" outlineLevel="0" collapsed="false">
      <c r="A111" s="2" t="n">
        <v>42979</v>
      </c>
      <c r="B111" s="0" t="n">
        <v>3.08</v>
      </c>
    </row>
    <row r="112" customFormat="false" ht="12.8" hidden="false" customHeight="false" outlineLevel="0" collapsed="false">
      <c r="A112" s="2" t="n">
        <v>42988</v>
      </c>
      <c r="B112" s="0" t="n">
        <v>3.079</v>
      </c>
    </row>
    <row r="113" customFormat="false" ht="12.8" hidden="false" customHeight="false" outlineLevel="0" collapsed="false">
      <c r="A113" s="2" t="n">
        <v>42998</v>
      </c>
      <c r="B113" s="0" t="n">
        <v>3.083</v>
      </c>
    </row>
    <row r="114" customFormat="false" ht="12.8" hidden="false" customHeight="false" outlineLevel="0" collapsed="false">
      <c r="A114" s="2" t="n">
        <v>43009</v>
      </c>
      <c r="B114" s="0" t="n">
        <v>3.084</v>
      </c>
    </row>
    <row r="115" customFormat="false" ht="12.8" hidden="false" customHeight="false" outlineLevel="0" collapsed="false">
      <c r="A115" s="2" t="n">
        <v>43018</v>
      </c>
      <c r="B115" s="0" t="n">
        <v>3.091</v>
      </c>
    </row>
    <row r="116" customFormat="false" ht="12.8" hidden="false" customHeight="false" outlineLevel="0" collapsed="false">
      <c r="A116" s="2" t="n">
        <v>43028</v>
      </c>
      <c r="B116" s="0" t="n">
        <v>3.09</v>
      </c>
    </row>
    <row r="117" customFormat="false" ht="12.8" hidden="false" customHeight="false" outlineLevel="0" collapsed="false">
      <c r="A117" s="2" t="n">
        <v>43040</v>
      </c>
      <c r="B117" s="0" t="n">
        <v>3.075</v>
      </c>
    </row>
    <row r="118" customFormat="false" ht="12.8" hidden="false" customHeight="false" outlineLevel="0" collapsed="false">
      <c r="A118" s="2" t="n">
        <v>43049</v>
      </c>
      <c r="B118" s="0" t="n">
        <v>3.087</v>
      </c>
    </row>
    <row r="119" customFormat="false" ht="12.8" hidden="false" customHeight="false" outlineLevel="0" collapsed="false">
      <c r="A119" s="2" t="n">
        <v>43054</v>
      </c>
      <c r="B119" s="0" t="n">
        <v>3.078</v>
      </c>
    </row>
    <row r="120" customFormat="false" ht="12.8" hidden="false" customHeight="false" outlineLevel="0" collapsed="false">
      <c r="A120" s="2" t="n">
        <v>43070</v>
      </c>
      <c r="B120" s="0" t="n">
        <v>3.078</v>
      </c>
    </row>
    <row r="121" customFormat="false" ht="12.8" hidden="false" customHeight="false" outlineLevel="0" collapsed="false">
      <c r="A121" s="2" t="n">
        <v>43079</v>
      </c>
      <c r="B121" s="0" t="n">
        <v>3.074</v>
      </c>
    </row>
    <row r="122" customFormat="false" ht="12.8" hidden="false" customHeight="false" outlineLevel="0" collapsed="false">
      <c r="A122" s="2" t="n">
        <v>43101</v>
      </c>
      <c r="B122" s="0" t="n">
        <v>3.092</v>
      </c>
    </row>
    <row r="123" customFormat="false" ht="12.8" hidden="false" customHeight="false" outlineLevel="0" collapsed="false">
      <c r="A123" s="2" t="n">
        <v>43110</v>
      </c>
      <c r="B123" s="0" t="n">
        <v>3.083</v>
      </c>
    </row>
    <row r="124" customFormat="false" ht="12.8" hidden="false" customHeight="false" outlineLevel="0" collapsed="false">
      <c r="A124" s="2" t="n">
        <v>43120</v>
      </c>
      <c r="B124" s="0" t="n">
        <v>3.081</v>
      </c>
    </row>
    <row r="125" customFormat="false" ht="12.8" hidden="false" customHeight="false" outlineLevel="0" collapsed="false">
      <c r="A125" s="2" t="n">
        <v>43132</v>
      </c>
      <c r="B125" s="0" t="n">
        <v>3.095</v>
      </c>
    </row>
    <row r="126" customFormat="false" ht="12.8" hidden="false" customHeight="false" outlineLevel="0" collapsed="false">
      <c r="A126" s="2" t="n">
        <v>43141</v>
      </c>
      <c r="B126" s="0" t="n">
        <v>3.081</v>
      </c>
    </row>
    <row r="127" customFormat="false" ht="12.8" hidden="false" customHeight="false" outlineLevel="0" collapsed="false">
      <c r="A127" s="2" t="n">
        <v>43151</v>
      </c>
      <c r="B127" s="0" t="n">
        <v>3.085</v>
      </c>
    </row>
    <row r="128" customFormat="false" ht="12.8" hidden="false" customHeight="false" outlineLevel="0" collapsed="false">
      <c r="A128" s="2" t="n">
        <v>43160</v>
      </c>
      <c r="B128" s="0" t="n">
        <v>3.085</v>
      </c>
    </row>
    <row r="129" customFormat="false" ht="12.8" hidden="false" customHeight="false" outlineLevel="0" collapsed="false">
      <c r="A129" s="2" t="n">
        <v>43169</v>
      </c>
      <c r="B129" s="0" t="n">
        <v>3.114</v>
      </c>
    </row>
    <row r="130" customFormat="false" ht="12.8" hidden="false" customHeight="false" outlineLevel="0" collapsed="false">
      <c r="A130" s="2" t="n">
        <v>43179</v>
      </c>
      <c r="B130" s="0" t="n">
        <v>3.083</v>
      </c>
    </row>
    <row r="131" customFormat="false" ht="12.8" hidden="false" customHeight="false" outlineLevel="0" collapsed="false">
      <c r="A131" s="2" t="n">
        <v>43191</v>
      </c>
      <c r="B131" s="0" t="n">
        <v>3.126</v>
      </c>
    </row>
    <row r="132" customFormat="false" ht="12.8" hidden="false" customHeight="false" outlineLevel="0" collapsed="false">
      <c r="A132" s="2" t="n">
        <v>43200</v>
      </c>
      <c r="B132" s="0" t="n">
        <v>3.149</v>
      </c>
    </row>
    <row r="133" customFormat="false" ht="12.8" hidden="false" customHeight="false" outlineLevel="0" collapsed="false">
      <c r="A133" s="2" t="n">
        <v>43210</v>
      </c>
      <c r="B133" s="0" t="n">
        <v>3.185</v>
      </c>
    </row>
    <row r="134" customFormat="false" ht="12.8" hidden="false" customHeight="false" outlineLevel="0" collapsed="false">
      <c r="A134" s="2" t="n">
        <v>43221</v>
      </c>
      <c r="B134" s="0" t="n">
        <v>3.132</v>
      </c>
    </row>
    <row r="135" customFormat="false" ht="12.8" hidden="false" customHeight="false" outlineLevel="0" collapsed="false">
      <c r="A135" s="2" t="n">
        <v>43230</v>
      </c>
      <c r="B135" s="0" t="n">
        <v>3.179</v>
      </c>
    </row>
    <row r="136" customFormat="false" ht="12.8" hidden="false" customHeight="false" outlineLevel="0" collapsed="false">
      <c r="A136" s="2" t="n">
        <v>43240</v>
      </c>
      <c r="B136" s="0" t="n">
        <v>3.176</v>
      </c>
    </row>
    <row r="137" customFormat="false" ht="12.8" hidden="false" customHeight="false" outlineLevel="0" collapsed="false">
      <c r="A137" s="2" t="n">
        <v>43252</v>
      </c>
      <c r="B137" s="0" t="n">
        <v>3.187</v>
      </c>
    </row>
    <row r="138" customFormat="false" ht="12.8" hidden="false" customHeight="false" outlineLevel="0" collapsed="false">
      <c r="A138" s="2" t="n">
        <v>43261</v>
      </c>
      <c r="B138" s="0" t="n">
        <v>3.186</v>
      </c>
    </row>
    <row r="139" customFormat="false" ht="12.8" hidden="false" customHeight="false" outlineLevel="0" collapsed="false">
      <c r="A139" s="2" t="n">
        <v>43271</v>
      </c>
      <c r="B139" s="0" t="n">
        <v>3.19</v>
      </c>
    </row>
    <row r="140" customFormat="false" ht="12.8" hidden="false" customHeight="false" outlineLevel="0" collapsed="false">
      <c r="A140" s="2" t="n">
        <v>43282</v>
      </c>
      <c r="B140" s="0" t="n">
        <v>3.203</v>
      </c>
    </row>
    <row r="141" customFormat="false" ht="12.8" hidden="false" customHeight="false" outlineLevel="0" collapsed="false">
      <c r="A141" s="2" t="n">
        <v>43291</v>
      </c>
      <c r="B141" s="0" t="n">
        <v>3.184</v>
      </c>
    </row>
    <row r="142" customFormat="false" ht="12.8" hidden="false" customHeight="false" outlineLevel="0" collapsed="false">
      <c r="A142" s="2" t="n">
        <v>43301</v>
      </c>
      <c r="B142" s="0" t="n">
        <v>3.189</v>
      </c>
    </row>
    <row r="143" customFormat="false" ht="12.8" hidden="false" customHeight="false" outlineLevel="0" collapsed="false">
      <c r="A143" s="2" t="n">
        <v>43313</v>
      </c>
      <c r="B143" s="0" t="n">
        <v>3.197</v>
      </c>
    </row>
    <row r="144" customFormat="false" ht="12.8" hidden="false" customHeight="false" outlineLevel="0" collapsed="false">
      <c r="A144" s="2" t="n">
        <v>43322</v>
      </c>
      <c r="B144" s="0" t="n">
        <v>3.181</v>
      </c>
    </row>
    <row r="145" customFormat="false" ht="12.8" hidden="false" customHeight="false" outlineLevel="0" collapsed="false">
      <c r="A145" s="2" t="n">
        <v>43332</v>
      </c>
      <c r="B145" s="0" t="n">
        <v>3.198</v>
      </c>
    </row>
    <row r="146" customFormat="false" ht="12.8" hidden="false" customHeight="false" outlineLevel="0" collapsed="false">
      <c r="A146" s="2" t="n">
        <v>43344</v>
      </c>
      <c r="B146" s="0" t="n">
        <v>3.198</v>
      </c>
    </row>
    <row r="147" customFormat="false" ht="12.8" hidden="false" customHeight="false" outlineLevel="0" collapsed="false">
      <c r="A147" s="2" t="n">
        <v>43353</v>
      </c>
      <c r="B147" s="0" t="n">
        <v>3.202</v>
      </c>
    </row>
    <row r="148" customFormat="false" ht="12.8" hidden="false" customHeight="false" outlineLevel="0" collapsed="false">
      <c r="A148" s="2" t="n">
        <v>43363</v>
      </c>
      <c r="B148" s="0" t="n">
        <v>3.197</v>
      </c>
    </row>
    <row r="149" customFormat="false" ht="12.8" hidden="false" customHeight="false" outlineLevel="0" collapsed="false">
      <c r="A149" s="2" t="n">
        <v>43374</v>
      </c>
      <c r="B149" s="0" t="n">
        <v>3.197</v>
      </c>
    </row>
    <row r="150" customFormat="false" ht="12.8" hidden="false" customHeight="false" outlineLevel="0" collapsed="false">
      <c r="A150" s="2" t="n">
        <v>43383</v>
      </c>
      <c r="B150" s="0" t="n">
        <v>3.219</v>
      </c>
    </row>
    <row r="151" customFormat="false" ht="12.8" hidden="false" customHeight="false" outlineLevel="0" collapsed="false">
      <c r="A151" s="2" t="n">
        <v>43393</v>
      </c>
      <c r="B151" s="0" t="n">
        <v>3.199</v>
      </c>
    </row>
    <row r="152" customFormat="false" ht="12.8" hidden="false" customHeight="false" outlineLevel="0" collapsed="false">
      <c r="A152" s="2" t="n">
        <v>43414</v>
      </c>
      <c r="B152" s="0" t="n">
        <v>3.198</v>
      </c>
    </row>
    <row r="153" customFormat="false" ht="12.8" hidden="false" customHeight="false" outlineLevel="0" collapsed="false">
      <c r="A153" s="2" t="n">
        <v>43436</v>
      </c>
      <c r="B153" s="0" t="n">
        <v>3.21</v>
      </c>
    </row>
    <row r="154" customFormat="false" ht="12.8" hidden="false" customHeight="false" outlineLevel="0" collapsed="false">
      <c r="A154" s="2" t="n">
        <v>43448</v>
      </c>
      <c r="B154" s="0" t="n">
        <v>3.177</v>
      </c>
    </row>
    <row r="155" customFormat="false" ht="12.8" hidden="false" customHeight="false" outlineLevel="0" collapsed="false">
      <c r="A155" s="2" t="n">
        <v>43460</v>
      </c>
      <c r="B155" s="0" t="n">
        <v>3.199</v>
      </c>
    </row>
    <row r="156" customFormat="false" ht="12.8" hidden="false" customHeight="false" outlineLevel="0" collapsed="false">
      <c r="A156" s="2" t="n">
        <v>43477</v>
      </c>
      <c r="B156" s="0" t="n">
        <v>3.203</v>
      </c>
    </row>
    <row r="157" customFormat="false" ht="12.8" hidden="false" customHeight="false" outlineLevel="0" collapsed="false">
      <c r="A157" s="2" t="n">
        <v>43499</v>
      </c>
      <c r="B157" s="0" t="n">
        <v>3.2</v>
      </c>
    </row>
    <row r="158" customFormat="false" ht="12.8" hidden="false" customHeight="false" outlineLevel="0" collapsed="false">
      <c r="A158" s="2" t="n">
        <v>43512</v>
      </c>
      <c r="B158" s="0" t="n">
        <v>3.211</v>
      </c>
    </row>
    <row r="159" customFormat="false" ht="12.8" hidden="false" customHeight="false" outlineLevel="0" collapsed="false">
      <c r="A159" s="2" t="n">
        <v>43520</v>
      </c>
      <c r="B159" s="0" t="n">
        <v>3.232</v>
      </c>
    </row>
    <row r="160" customFormat="false" ht="12.8" hidden="false" customHeight="false" outlineLevel="0" collapsed="false">
      <c r="A160" s="2" t="n">
        <v>43533</v>
      </c>
      <c r="B160" s="0" t="n">
        <v>3.231</v>
      </c>
    </row>
    <row r="161" customFormat="false" ht="12.8" hidden="false" customHeight="false" outlineLevel="0" collapsed="false">
      <c r="A161" s="2" t="n">
        <v>43562</v>
      </c>
      <c r="B161" s="0" t="n">
        <v>3.242</v>
      </c>
    </row>
    <row r="162" customFormat="false" ht="12.8" hidden="false" customHeight="false" outlineLevel="0" collapsed="false">
      <c r="A162" s="2" t="n">
        <v>43596</v>
      </c>
      <c r="B162" s="0" t="n">
        <v>3.241</v>
      </c>
    </row>
    <row r="163" customFormat="false" ht="12.8" hidden="false" customHeight="false" outlineLevel="0" collapsed="false">
      <c r="A163" s="2" t="n">
        <v>43618</v>
      </c>
      <c r="B163" s="0" t="n">
        <v>3.265</v>
      </c>
    </row>
    <row r="164" customFormat="false" ht="12.8" hidden="false" customHeight="false" outlineLevel="0" collapsed="false">
      <c r="A164" s="2" t="n">
        <v>43632</v>
      </c>
      <c r="B164" s="0" t="n">
        <v>3.257</v>
      </c>
    </row>
    <row r="165" customFormat="false" ht="12.8" hidden="false" customHeight="false" outlineLevel="0" collapsed="false">
      <c r="A165" s="2" t="n">
        <v>43646</v>
      </c>
      <c r="B165" s="0" t="n">
        <v>3.293</v>
      </c>
    </row>
    <row r="166" customFormat="false" ht="12.8" hidden="false" customHeight="false" outlineLevel="0" collapsed="false">
      <c r="A166" s="2" t="n">
        <v>43662</v>
      </c>
      <c r="B166" s="0" t="n">
        <v>3.285</v>
      </c>
    </row>
    <row r="167" customFormat="false" ht="12.8" hidden="false" customHeight="false" outlineLevel="0" collapsed="false">
      <c r="A167" s="2" t="n">
        <v>43672</v>
      </c>
      <c r="B167" s="0" t="n">
        <v>3.29</v>
      </c>
    </row>
    <row r="168" customFormat="false" ht="12.8" hidden="false" customHeight="false" outlineLevel="0" collapsed="false">
      <c r="A168" s="2" t="n">
        <v>43702</v>
      </c>
      <c r="B168" s="0" t="n">
        <v>3.317</v>
      </c>
    </row>
    <row r="169" customFormat="false" ht="12.8" hidden="false" customHeight="false" outlineLevel="0" collapsed="false">
      <c r="A169" s="2" t="n">
        <v>43715</v>
      </c>
      <c r="B169" s="0" t="n">
        <v>3.264</v>
      </c>
    </row>
    <row r="170" customFormat="false" ht="12.8" hidden="false" customHeight="false" outlineLevel="0" collapsed="false">
      <c r="A170" s="2" t="n">
        <v>43730</v>
      </c>
      <c r="B170" s="0" t="n">
        <v>3.305</v>
      </c>
    </row>
    <row r="171" customFormat="false" ht="12.8" hidden="false" customHeight="false" outlineLevel="0" collapsed="false">
      <c r="A171" s="2" t="n">
        <v>43744</v>
      </c>
      <c r="B171" s="0" t="n">
        <v>3.305</v>
      </c>
    </row>
    <row r="172" customFormat="false" ht="12.8" hidden="false" customHeight="false" outlineLevel="0" collapsed="false">
      <c r="A172" s="2" t="n">
        <v>43759</v>
      </c>
      <c r="B172" s="0" t="n">
        <v>3.3</v>
      </c>
    </row>
    <row r="173" customFormat="false" ht="12.8" hidden="false" customHeight="false" outlineLevel="0" collapsed="false">
      <c r="A173" s="2" t="n">
        <v>43741</v>
      </c>
      <c r="B173" s="0" t="n">
        <v>3.298</v>
      </c>
    </row>
    <row r="174" customFormat="false" ht="12.8" hidden="false" customHeight="false" outlineLevel="0" collapsed="false">
      <c r="A174" s="2" t="n">
        <v>43769</v>
      </c>
      <c r="B174" s="0" t="n">
        <v>3.295</v>
      </c>
    </row>
    <row r="175" customFormat="false" ht="12.8" hidden="false" customHeight="false" outlineLevel="0" collapsed="false">
      <c r="A175" s="2" t="n">
        <v>43820</v>
      </c>
      <c r="B175" s="0" t="n">
        <v>3.299</v>
      </c>
    </row>
    <row r="176" customFormat="false" ht="12.8" hidden="false" customHeight="false" outlineLevel="0" collapsed="false">
      <c r="A176" s="2" t="n">
        <v>43834</v>
      </c>
      <c r="B176" s="0" t="n">
        <v>3.292</v>
      </c>
    </row>
    <row r="177" customFormat="false" ht="12.8" hidden="false" customHeight="false" outlineLevel="0" collapsed="false">
      <c r="A177" s="2" t="n">
        <v>43856</v>
      </c>
      <c r="B177" s="0" t="n">
        <v>3.293</v>
      </c>
    </row>
    <row r="178" customFormat="false" ht="12.8" hidden="false" customHeight="false" outlineLevel="0" collapsed="false">
      <c r="A178" s="2" t="n">
        <v>43876</v>
      </c>
      <c r="B178" s="0" t="n">
        <v>3.298</v>
      </c>
    </row>
    <row r="179" customFormat="false" ht="12.8" hidden="false" customHeight="false" outlineLevel="0" collapsed="false">
      <c r="A179" s="2" t="n">
        <v>43890</v>
      </c>
      <c r="B179" s="0" t="n">
        <v>3.302</v>
      </c>
    </row>
    <row r="180" customFormat="false" ht="12.8" hidden="false" customHeight="false" outlineLevel="0" collapsed="false">
      <c r="A180" s="2" t="n">
        <v>43905</v>
      </c>
      <c r="B180" s="0" t="n">
        <v>3.304</v>
      </c>
    </row>
    <row r="181" customFormat="false" ht="12.8" hidden="false" customHeight="false" outlineLevel="0" collapsed="false">
      <c r="A181" s="2" t="n">
        <v>43919</v>
      </c>
      <c r="B181" s="0" t="n">
        <v>3.301</v>
      </c>
    </row>
    <row r="182" customFormat="false" ht="12.8" hidden="false" customHeight="false" outlineLevel="0" collapsed="false">
      <c r="A182" s="2" t="n">
        <v>43935</v>
      </c>
      <c r="B182" s="0" t="n">
        <v>3.305</v>
      </c>
    </row>
    <row r="183" customFormat="false" ht="12.8" hidden="false" customHeight="false" outlineLevel="0" collapsed="false">
      <c r="A183" s="2" t="n">
        <v>43947</v>
      </c>
      <c r="B183" s="0" t="n">
        <v>3.31</v>
      </c>
    </row>
    <row r="184" customFormat="false" ht="12.8" hidden="false" customHeight="false" outlineLevel="0" collapsed="false">
      <c r="A184" s="2" t="n">
        <v>43961</v>
      </c>
      <c r="B184" s="0" t="n">
        <v>3.333</v>
      </c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1996-10-21T11:03:58Z</dcterms:created>
  <dc:creator>Microsoft Corporation</dc:creator>
  <dc:description/>
  <dc:language>fr-FR</dc:language>
  <cp:lastModifiedBy/>
  <cp:lastPrinted>2019-11-03T08:42:10Z</cp:lastPrinted>
  <dcterms:modified xsi:type="dcterms:W3CDTF">2024-08-28T15:44:58Z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